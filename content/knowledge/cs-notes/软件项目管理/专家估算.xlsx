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course\ObsidianNotes\计算机学习笔记\软件项目管理\"/>
    </mc:Choice>
  </mc:AlternateContent>
  <xr:revisionPtr revIDLastSave="0" documentId="13_ncr:1_{27FA20B2-EBC8-4621-BA5A-8541DDF3A5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9" i="1" l="1"/>
  <c r="M102" i="1" s="1"/>
  <c r="Q81" i="1"/>
  <c r="Q101" i="1"/>
  <c r="M80" i="1"/>
  <c r="M103" i="1" s="1"/>
  <c r="M81" i="1"/>
  <c r="M104" i="1" s="1"/>
  <c r="M82" i="1"/>
  <c r="M105" i="1" s="1"/>
  <c r="M83" i="1"/>
  <c r="M84" i="1"/>
  <c r="M107" i="1" s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U80" i="1"/>
  <c r="U81" i="1"/>
  <c r="U82" i="1"/>
  <c r="U83" i="1"/>
  <c r="U95" i="1"/>
  <c r="T58" i="1"/>
  <c r="Q79" i="1" s="1"/>
  <c r="T59" i="1"/>
  <c r="Q80" i="1" s="1"/>
  <c r="T60" i="1"/>
  <c r="Q82" i="1" s="1"/>
  <c r="T61" i="1"/>
  <c r="Q83" i="1" s="1"/>
  <c r="T62" i="1"/>
  <c r="Q84" i="1" s="1"/>
  <c r="T63" i="1"/>
  <c r="Q85" i="1" s="1"/>
  <c r="T64" i="1"/>
  <c r="Q86" i="1" s="1"/>
  <c r="Q87" i="1"/>
  <c r="T65" i="1"/>
  <c r="Q88" i="1" s="1"/>
  <c r="T66" i="1"/>
  <c r="Q89" i="1" s="1"/>
  <c r="T67" i="1"/>
  <c r="Q90" i="1" s="1"/>
  <c r="T68" i="1"/>
  <c r="Q91" i="1" s="1"/>
  <c r="T69" i="1"/>
  <c r="Q92" i="1" s="1"/>
  <c r="T70" i="1"/>
  <c r="Q93" i="1" s="1"/>
  <c r="T71" i="1"/>
  <c r="Q94" i="1" s="1"/>
  <c r="T72" i="1"/>
  <c r="Q95" i="1" s="1"/>
  <c r="T73" i="1"/>
  <c r="Q96" i="1" s="1"/>
  <c r="T74" i="1"/>
  <c r="Q97" i="1" s="1"/>
  <c r="T75" i="1"/>
  <c r="Q98" i="1" s="1"/>
  <c r="T76" i="1"/>
  <c r="Q99" i="1" s="1"/>
  <c r="T77" i="1"/>
  <c r="Q100" i="1" s="1"/>
  <c r="T78" i="1"/>
  <c r="M106" i="1"/>
  <c r="X78" i="1"/>
  <c r="U101" i="1" s="1"/>
  <c r="X77" i="1"/>
  <c r="U100" i="1" s="1"/>
  <c r="X76" i="1"/>
  <c r="U99" i="1" s="1"/>
  <c r="X75" i="1"/>
  <c r="U98" i="1" s="1"/>
  <c r="X74" i="1"/>
  <c r="U97" i="1" s="1"/>
  <c r="X73" i="1"/>
  <c r="U96" i="1" s="1"/>
  <c r="X72" i="1"/>
  <c r="X71" i="1"/>
  <c r="U94" i="1" s="1"/>
  <c r="X70" i="1"/>
  <c r="U93" i="1" s="1"/>
  <c r="X69" i="1"/>
  <c r="U92" i="1" s="1"/>
  <c r="X68" i="1"/>
  <c r="U91" i="1" s="1"/>
  <c r="X67" i="1"/>
  <c r="U90" i="1" s="1"/>
  <c r="X66" i="1"/>
  <c r="U89" i="1" s="1"/>
  <c r="X65" i="1"/>
  <c r="U88" i="1" s="1"/>
  <c r="U87" i="1"/>
  <c r="X64" i="1"/>
  <c r="U86" i="1" s="1"/>
  <c r="X63" i="1"/>
  <c r="U85" i="1" s="1"/>
  <c r="X62" i="1"/>
  <c r="U84" i="1" s="1"/>
  <c r="X61" i="1"/>
  <c r="X60" i="1"/>
  <c r="X59" i="1"/>
  <c r="X58" i="1"/>
  <c r="U79" i="1" s="1"/>
</calcChain>
</file>

<file path=xl/sharedStrings.xml><?xml version="1.0" encoding="utf-8"?>
<sst xmlns="http://schemas.openxmlformats.org/spreadsheetml/2006/main" count="189" uniqueCount="72">
  <si>
    <t>a(最小成本)</t>
    <phoneticPr fontId="1" type="noConversion"/>
  </si>
  <si>
    <t>m(可能成本)</t>
    <phoneticPr fontId="1" type="noConversion"/>
  </si>
  <si>
    <t>b(最大成本)</t>
    <phoneticPr fontId="1" type="noConversion"/>
  </si>
  <si>
    <t>项目范围计划书编写</t>
  </si>
  <si>
    <t>任务分解结构</t>
  </si>
  <si>
    <t>项目进度计划编写</t>
  </si>
  <si>
    <t>项目成本计划编写</t>
  </si>
  <si>
    <t>客户需求获取</t>
  </si>
  <si>
    <t>需求规格说明书编写</t>
  </si>
  <si>
    <t>系统分析</t>
  </si>
  <si>
    <t>系统总体设计</t>
  </si>
  <si>
    <t>系统详细设计</t>
  </si>
  <si>
    <t>用户登录与注册页面编码</t>
  </si>
  <si>
    <t>用户主页面编码</t>
  </si>
  <si>
    <t>管理员主页面编码</t>
  </si>
  <si>
    <t>管理员收费页面编码</t>
  </si>
  <si>
    <t>管理员数据可视乎页面编码</t>
  </si>
  <si>
    <t>用户剩余车位信息统计功能</t>
  </si>
  <si>
    <t>用户所停车位实现查询功能</t>
  </si>
  <si>
    <t>用户出场收费功能</t>
  </si>
  <si>
    <t>用户登录注册逻辑功能</t>
  </si>
  <si>
    <t>用户注销逻辑功能</t>
  </si>
  <si>
    <t>新增停车收费标准功能</t>
  </si>
  <si>
    <t>删除停车收费标准功能</t>
  </si>
  <si>
    <t>查询停车收费标准功能</t>
  </si>
  <si>
    <t>修改停车收费标准功能</t>
  </si>
  <si>
    <t>每月新增用户统计功能</t>
  </si>
  <si>
    <t>每月入场用户统计功能</t>
  </si>
  <si>
    <t>每月收费统计功能实现</t>
  </si>
  <si>
    <t>测试计划书编写</t>
  </si>
  <si>
    <t>单元测试</t>
  </si>
  <si>
    <t>集成测试</t>
  </si>
  <si>
    <t>功能测试</t>
  </si>
  <si>
    <t>系统测试</t>
  </si>
  <si>
    <t>系统运行与维护</t>
  </si>
  <si>
    <t>陆柯亦</t>
    <phoneticPr fontId="1" type="noConversion"/>
  </si>
  <si>
    <t>奉恒斌</t>
    <phoneticPr fontId="1" type="noConversion"/>
  </si>
  <si>
    <t>汪家豪</t>
    <phoneticPr fontId="1" type="noConversion"/>
  </si>
  <si>
    <t>任翔</t>
    <phoneticPr fontId="1" type="noConversion"/>
  </si>
  <si>
    <t>平均</t>
    <phoneticPr fontId="1" type="noConversion"/>
  </si>
  <si>
    <t>专家</t>
    <phoneticPr fontId="1" type="noConversion"/>
  </si>
  <si>
    <t>WBS</t>
    <phoneticPr fontId="1" type="noConversion"/>
  </si>
  <si>
    <t>期望</t>
    <phoneticPr fontId="1" type="noConversion"/>
  </si>
  <si>
    <t>项目范围计划书编写</t>
    <phoneticPr fontId="1" type="noConversion"/>
  </si>
  <si>
    <t>项目成本专家估算表</t>
    <phoneticPr fontId="1" type="noConversion"/>
  </si>
  <si>
    <t>任务</t>
  </si>
  <si>
    <t>估计成本</t>
  </si>
  <si>
    <t>最小成本</t>
  </si>
  <si>
    <t>可能成本</t>
  </si>
  <si>
    <t>最大成本</t>
  </si>
  <si>
    <r>
      <t>PERT</t>
    </r>
    <r>
      <rPr>
        <sz val="10.5"/>
        <color theme="1"/>
        <rFont val="微软雅黑"/>
        <family val="2"/>
        <charset val="134"/>
      </rPr>
      <t>估值</t>
    </r>
  </si>
  <si>
    <t>期望值</t>
  </si>
  <si>
    <t>项目总成本</t>
  </si>
  <si>
    <t>子任务</t>
  </si>
  <si>
    <t>时间（天）</t>
  </si>
  <si>
    <t>总计（万元）</t>
  </si>
  <si>
    <t>项目准备阶段</t>
  </si>
  <si>
    <t>设计阶段</t>
  </si>
  <si>
    <t>用户登录与注册页面设计</t>
  </si>
  <si>
    <t>用户主页面设计</t>
  </si>
  <si>
    <t>管理员主页面设计</t>
  </si>
  <si>
    <t>管理员收费管理页面设计</t>
  </si>
  <si>
    <t>管理员数据可视化页面设计</t>
  </si>
  <si>
    <t>用户所停车位查询功能</t>
  </si>
  <si>
    <r>
      <t xml:space="preserve">    </t>
    </r>
    <r>
      <rPr>
        <sz val="10.5"/>
        <color theme="1"/>
        <rFont val="宋体"/>
        <family val="3"/>
        <charset val="134"/>
      </rPr>
      <t>修改停车收费标注 功能</t>
    </r>
  </si>
  <si>
    <t>新增用户统计功能</t>
  </si>
  <si>
    <t>入场用户统计功能</t>
  </si>
  <si>
    <t>收费统计功能</t>
  </si>
  <si>
    <t>系统运维</t>
  </si>
  <si>
    <t xml:space="preserve"> </t>
  </si>
  <si>
    <t>人力</t>
    <phoneticPr fontId="1" type="noConversion"/>
  </si>
  <si>
    <t>成本（万元）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</si>
</sst>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Calibri"/>
      <family val="2"/>
    </font>
    <font>
      <sz val="10.5"/>
      <color theme="1"/>
      <name val="宋体"/>
      <family val="3"/>
      <charset val="134"/>
    </font>
    <font>
      <sz val="11"/>
      <color theme="1"/>
      <name val="等线"/>
      <family val="3"/>
      <charset val="134"/>
    </font>
    <font>
      <sz val="10.5"/>
      <color theme="1"/>
      <name val="Arial"/>
      <family val="2"/>
    </font>
    <font>
      <sz val="10.5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0" fillId="0" borderId="0" xfId="0" applyBorder="1"/>
    <xf numFmtId="0" fontId="4" fillId="0" borderId="0" xfId="0" applyFont="1" applyAlignment="1">
      <alignment horizontal="center"/>
    </xf>
    <xf numFmtId="0" fontId="6" fillId="0" borderId="2" xfId="0" applyFont="1" applyBorder="1" applyAlignment="1">
      <alignment horizontal="justify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justify" vertical="center"/>
    </xf>
    <xf numFmtId="0" fontId="6" fillId="0" borderId="3" xfId="0" applyFont="1" applyBorder="1" applyAlignment="1">
      <alignment horizontal="center" vertical="center" wrapText="1"/>
    </xf>
    <xf numFmtId="0" fontId="2" fillId="0" borderId="7" xfId="0" applyNumberFormat="1" applyFont="1" applyBorder="1" applyAlignment="1">
      <alignment horizontal="center" vertical="center" wrapText="1"/>
    </xf>
    <xf numFmtId="0" fontId="0" fillId="0" borderId="0" xfId="0" applyNumberFormat="1" applyBorder="1"/>
    <xf numFmtId="0" fontId="0" fillId="0" borderId="0" xfId="0" applyNumberFormat="1"/>
    <xf numFmtId="0" fontId="3" fillId="0" borderId="7" xfId="0" applyNumberFormat="1" applyFont="1" applyBorder="1" applyAlignment="1">
      <alignment horizontal="center" vertical="center" wrapText="1"/>
    </xf>
    <xf numFmtId="0" fontId="2" fillId="0" borderId="11" xfId="0" applyNumberFormat="1" applyFont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176" fontId="2" fillId="0" borderId="7" xfId="0" applyNumberFormat="1" applyFont="1" applyBorder="1" applyAlignment="1">
      <alignment horizontal="center" vertical="center" wrapText="1"/>
    </xf>
    <xf numFmtId="1" fontId="2" fillId="0" borderId="7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3" fillId="0" borderId="7" xfId="0" applyNumberFormat="1" applyFont="1" applyBorder="1" applyAlignment="1">
      <alignment horizontal="center" vertical="center" wrapText="1"/>
    </xf>
    <xf numFmtId="0" fontId="3" fillId="0" borderId="8" xfId="0" applyNumberFormat="1" applyFont="1" applyBorder="1" applyAlignment="1">
      <alignment horizontal="center" vertical="center" wrapText="1"/>
    </xf>
    <xf numFmtId="0" fontId="3" fillId="0" borderId="9" xfId="0" applyNumberFormat="1" applyFont="1" applyBorder="1" applyAlignment="1">
      <alignment horizontal="center" vertical="center" wrapText="1"/>
    </xf>
    <xf numFmtId="0" fontId="3" fillId="0" borderId="10" xfId="0" applyNumberFormat="1" applyFont="1" applyBorder="1" applyAlignment="1">
      <alignment horizontal="center" vertical="center" wrapText="1"/>
    </xf>
    <xf numFmtId="0" fontId="2" fillId="0" borderId="7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6:Z137"/>
  <sheetViews>
    <sheetView tabSelected="1" topLeftCell="G55" workbookViewId="0">
      <selection activeCell="X78" sqref="X58:X78"/>
    </sheetView>
  </sheetViews>
  <sheetFormatPr defaultRowHeight="14.25" x14ac:dyDescent="0.2"/>
  <cols>
    <col min="3" max="3" width="20.625" customWidth="1"/>
    <col min="4" max="4" width="9.625" customWidth="1"/>
    <col min="5" max="5" width="17.375" customWidth="1"/>
    <col min="6" max="6" width="19.375" customWidth="1"/>
    <col min="7" max="7" width="20.375" customWidth="1"/>
    <col min="12" max="12" width="34.625" customWidth="1"/>
    <col min="21" max="21" width="18.375" customWidth="1"/>
  </cols>
  <sheetData>
    <row r="6" spans="3:26" ht="15" thickBot="1" x14ac:dyDescent="0.25">
      <c r="C6" s="29" t="s">
        <v>44</v>
      </c>
      <c r="D6" s="29"/>
      <c r="E6" s="29"/>
      <c r="F6" s="29"/>
      <c r="G6" s="29"/>
      <c r="H6" s="29"/>
      <c r="I6" s="29"/>
    </row>
    <row r="7" spans="3:26" ht="17.25" x14ac:dyDescent="0.2">
      <c r="C7" s="5" t="s">
        <v>41</v>
      </c>
      <c r="D7" t="s">
        <v>40</v>
      </c>
      <c r="E7" s="1" t="s">
        <v>0</v>
      </c>
      <c r="F7" s="1" t="s">
        <v>1</v>
      </c>
      <c r="G7" s="1" t="s">
        <v>2</v>
      </c>
      <c r="H7" s="1" t="s">
        <v>39</v>
      </c>
      <c r="I7" s="1" t="s">
        <v>42</v>
      </c>
      <c r="L7" s="6" t="s">
        <v>45</v>
      </c>
      <c r="M7" s="32" t="s">
        <v>47</v>
      </c>
      <c r="N7" s="9"/>
      <c r="O7" s="9"/>
      <c r="P7" s="13"/>
      <c r="Q7" s="9"/>
      <c r="R7" s="9"/>
      <c r="S7" s="32" t="s">
        <v>48</v>
      </c>
      <c r="T7" s="13"/>
      <c r="U7" s="9"/>
      <c r="V7" s="9"/>
      <c r="W7" s="32" t="s">
        <v>49</v>
      </c>
      <c r="X7" s="13"/>
      <c r="Y7" s="35" t="s">
        <v>50</v>
      </c>
      <c r="Z7" s="38" t="s">
        <v>51</v>
      </c>
    </row>
    <row r="8" spans="3:26" ht="17.25" x14ac:dyDescent="0.2">
      <c r="C8" s="28" t="s">
        <v>43</v>
      </c>
      <c r="D8" t="s">
        <v>35</v>
      </c>
      <c r="L8" s="7" t="s">
        <v>45</v>
      </c>
      <c r="M8" s="33"/>
      <c r="N8" s="17"/>
      <c r="O8" s="17"/>
      <c r="P8" s="17"/>
      <c r="Q8" s="17"/>
      <c r="R8" s="17"/>
      <c r="S8" s="33"/>
      <c r="T8" s="17"/>
      <c r="U8" s="17"/>
      <c r="V8" s="17"/>
      <c r="W8" s="33"/>
      <c r="X8" s="17"/>
      <c r="Y8" s="36"/>
      <c r="Z8" s="39"/>
    </row>
    <row r="9" spans="3:26" ht="18" thickBot="1" x14ac:dyDescent="0.25">
      <c r="C9" s="28"/>
      <c r="D9" t="s">
        <v>36</v>
      </c>
      <c r="L9" s="8" t="s">
        <v>46</v>
      </c>
      <c r="M9" s="34"/>
      <c r="N9" s="8"/>
      <c r="O9" s="8"/>
      <c r="P9" s="14"/>
      <c r="Q9" s="8"/>
      <c r="R9" s="8"/>
      <c r="S9" s="34"/>
      <c r="T9" s="14"/>
      <c r="U9" s="8"/>
      <c r="V9" s="8"/>
      <c r="W9" s="34"/>
      <c r="X9" s="14"/>
      <c r="Y9" s="37"/>
      <c r="Z9" s="40"/>
    </row>
    <row r="10" spans="3:26" ht="17.25" thickBot="1" x14ac:dyDescent="0.25">
      <c r="C10" s="28"/>
      <c r="D10" t="s">
        <v>37</v>
      </c>
      <c r="L10" s="10" t="s">
        <v>3</v>
      </c>
      <c r="M10" s="11">
        <v>1</v>
      </c>
      <c r="N10" s="11"/>
      <c r="O10" s="11"/>
      <c r="P10" s="15"/>
      <c r="Q10" s="11"/>
      <c r="R10" s="11"/>
      <c r="S10" s="11">
        <v>2</v>
      </c>
      <c r="T10" s="15"/>
      <c r="U10" s="11"/>
      <c r="V10" s="11"/>
      <c r="W10" s="11">
        <v>3</v>
      </c>
      <c r="X10" s="15"/>
      <c r="Y10" s="2"/>
      <c r="Z10" s="11"/>
    </row>
    <row r="11" spans="3:26" ht="18" thickBot="1" x14ac:dyDescent="0.25">
      <c r="C11" s="28"/>
      <c r="D11" t="s">
        <v>38</v>
      </c>
      <c r="L11" s="8" t="s">
        <v>4</v>
      </c>
      <c r="M11" s="11">
        <v>1</v>
      </c>
      <c r="N11" s="11"/>
      <c r="O11" s="11"/>
      <c r="P11" s="15"/>
      <c r="Q11" s="11"/>
      <c r="R11" s="11"/>
      <c r="S11" s="11">
        <v>1</v>
      </c>
      <c r="T11" s="15"/>
      <c r="U11" s="11"/>
      <c r="V11" s="11"/>
      <c r="W11" s="11">
        <v>2</v>
      </c>
      <c r="X11" s="15"/>
      <c r="Y11" s="11">
        <v>1</v>
      </c>
      <c r="Z11" s="11">
        <v>2</v>
      </c>
    </row>
    <row r="12" spans="3:26" ht="18" thickBot="1" x14ac:dyDescent="0.25">
      <c r="C12" s="27" t="s">
        <v>4</v>
      </c>
      <c r="D12" t="s">
        <v>35</v>
      </c>
      <c r="L12" s="8" t="s">
        <v>5</v>
      </c>
      <c r="M12" s="11">
        <v>1</v>
      </c>
      <c r="N12" s="11"/>
      <c r="O12" s="11"/>
      <c r="P12" s="15"/>
      <c r="Q12" s="11"/>
      <c r="R12" s="11"/>
      <c r="S12" s="11">
        <v>2</v>
      </c>
      <c r="T12" s="15"/>
      <c r="U12" s="11"/>
      <c r="V12" s="11"/>
      <c r="W12" s="11">
        <v>3</v>
      </c>
      <c r="X12" s="15"/>
      <c r="Y12" s="11">
        <v>2</v>
      </c>
      <c r="Z12" s="11"/>
    </row>
    <row r="13" spans="3:26" ht="18" thickBot="1" x14ac:dyDescent="0.25">
      <c r="C13" s="27"/>
      <c r="D13" t="s">
        <v>36</v>
      </c>
      <c r="L13" s="8" t="s">
        <v>6</v>
      </c>
      <c r="M13" s="11">
        <v>1</v>
      </c>
      <c r="N13" s="11"/>
      <c r="O13" s="11"/>
      <c r="P13" s="15"/>
      <c r="Q13" s="11"/>
      <c r="R13" s="11"/>
      <c r="S13" s="11">
        <v>2</v>
      </c>
      <c r="T13" s="15"/>
      <c r="U13" s="11"/>
      <c r="V13" s="11"/>
      <c r="W13" s="11">
        <v>3</v>
      </c>
      <c r="X13" s="15"/>
      <c r="Y13" s="11">
        <v>2</v>
      </c>
      <c r="Z13" s="11"/>
    </row>
    <row r="14" spans="3:26" ht="18" thickBot="1" x14ac:dyDescent="0.25">
      <c r="C14" s="27"/>
      <c r="D14" t="s">
        <v>37</v>
      </c>
      <c r="L14" s="8" t="s">
        <v>7</v>
      </c>
      <c r="M14" s="11">
        <v>3</v>
      </c>
      <c r="N14" s="11"/>
      <c r="O14" s="11"/>
      <c r="P14" s="15"/>
      <c r="Q14" s="11"/>
      <c r="R14" s="11"/>
      <c r="S14" s="11">
        <v>5</v>
      </c>
      <c r="T14" s="15"/>
      <c r="U14" s="11"/>
      <c r="V14" s="11"/>
      <c r="W14" s="11">
        <v>7</v>
      </c>
      <c r="X14" s="15"/>
      <c r="Y14" s="11">
        <v>5</v>
      </c>
      <c r="Z14" s="11"/>
    </row>
    <row r="15" spans="3:26" ht="18" thickBot="1" x14ac:dyDescent="0.25">
      <c r="C15" s="27"/>
      <c r="D15" t="s">
        <v>38</v>
      </c>
      <c r="L15" s="8" t="s">
        <v>8</v>
      </c>
      <c r="M15" s="11">
        <v>3</v>
      </c>
      <c r="N15" s="11"/>
      <c r="O15" s="11"/>
      <c r="P15" s="15"/>
      <c r="Q15" s="11"/>
      <c r="R15" s="11"/>
      <c r="S15" s="11">
        <v>2</v>
      </c>
      <c r="T15" s="15"/>
      <c r="U15" s="11"/>
      <c r="V15" s="11"/>
      <c r="W15" s="11">
        <v>3</v>
      </c>
      <c r="X15" s="15"/>
      <c r="Y15" s="11">
        <v>3</v>
      </c>
      <c r="Z15" s="11"/>
    </row>
    <row r="16" spans="3:26" ht="18" thickBot="1" x14ac:dyDescent="0.25">
      <c r="C16" s="27" t="s">
        <v>5</v>
      </c>
      <c r="D16" t="s">
        <v>35</v>
      </c>
      <c r="K16" s="4"/>
      <c r="L16" s="8" t="s">
        <v>9</v>
      </c>
      <c r="M16" s="11">
        <v>2</v>
      </c>
      <c r="N16" s="11"/>
      <c r="O16" s="11"/>
      <c r="P16" s="15"/>
      <c r="Q16" s="11"/>
      <c r="R16" s="11"/>
      <c r="S16" s="11">
        <v>3</v>
      </c>
      <c r="T16" s="15"/>
      <c r="U16" s="11"/>
      <c r="V16" s="11"/>
      <c r="W16" s="11">
        <v>5</v>
      </c>
      <c r="X16" s="15"/>
      <c r="Y16" s="11">
        <v>4</v>
      </c>
      <c r="Z16" s="11"/>
    </row>
    <row r="17" spans="3:26" ht="18" thickBot="1" x14ac:dyDescent="0.25">
      <c r="C17" s="27"/>
      <c r="D17" t="s">
        <v>36</v>
      </c>
      <c r="K17" s="4"/>
      <c r="L17" s="8" t="s">
        <v>10</v>
      </c>
      <c r="M17" s="11">
        <v>2</v>
      </c>
      <c r="N17" s="11"/>
      <c r="O17" s="11"/>
      <c r="P17" s="15"/>
      <c r="Q17" s="11"/>
      <c r="R17" s="11"/>
      <c r="S17" s="11">
        <v>4</v>
      </c>
      <c r="T17" s="15"/>
      <c r="U17" s="11"/>
      <c r="V17" s="11"/>
      <c r="W17" s="11">
        <v>6</v>
      </c>
      <c r="X17" s="15"/>
      <c r="Y17" s="11">
        <v>4</v>
      </c>
      <c r="Z17" s="11"/>
    </row>
    <row r="18" spans="3:26" ht="18" thickBot="1" x14ac:dyDescent="0.25">
      <c r="C18" s="27"/>
      <c r="D18" t="s">
        <v>37</v>
      </c>
      <c r="K18" s="4"/>
      <c r="L18" s="8" t="s">
        <v>11</v>
      </c>
      <c r="M18" s="11">
        <v>2</v>
      </c>
      <c r="N18" s="11"/>
      <c r="O18" s="11"/>
      <c r="P18" s="15"/>
      <c r="Q18" s="11"/>
      <c r="R18" s="11"/>
      <c r="S18" s="11">
        <v>3</v>
      </c>
      <c r="T18" s="15"/>
      <c r="U18" s="11"/>
      <c r="V18" s="11"/>
      <c r="W18" s="11">
        <v>5</v>
      </c>
      <c r="X18" s="15"/>
      <c r="Y18" s="11">
        <v>4</v>
      </c>
      <c r="Z18" s="11"/>
    </row>
    <row r="19" spans="3:26" ht="18" thickBot="1" x14ac:dyDescent="0.25">
      <c r="C19" s="27"/>
      <c r="D19" t="s">
        <v>38</v>
      </c>
      <c r="K19" s="4"/>
      <c r="L19" s="8" t="s">
        <v>12</v>
      </c>
      <c r="M19" s="11">
        <v>3</v>
      </c>
      <c r="N19" s="11"/>
      <c r="O19" s="11"/>
      <c r="P19" s="15"/>
      <c r="Q19" s="11"/>
      <c r="R19" s="11"/>
      <c r="S19" s="11">
        <v>3</v>
      </c>
      <c r="T19" s="15"/>
      <c r="U19" s="11"/>
      <c r="V19" s="11"/>
      <c r="W19" s="11">
        <v>5</v>
      </c>
      <c r="X19" s="15"/>
      <c r="Y19" s="11">
        <v>4</v>
      </c>
      <c r="Z19" s="11"/>
    </row>
    <row r="20" spans="3:26" ht="18" thickBot="1" x14ac:dyDescent="0.25">
      <c r="C20" s="27" t="s">
        <v>6</v>
      </c>
      <c r="D20" t="s">
        <v>35</v>
      </c>
      <c r="K20" s="4"/>
      <c r="L20" s="8" t="s">
        <v>13</v>
      </c>
      <c r="M20" s="11">
        <v>3</v>
      </c>
      <c r="N20" s="11"/>
      <c r="O20" s="11"/>
      <c r="P20" s="15"/>
      <c r="Q20" s="11"/>
      <c r="R20" s="11"/>
      <c r="S20" s="11">
        <v>3</v>
      </c>
      <c r="T20" s="15"/>
      <c r="U20" s="11"/>
      <c r="V20" s="11"/>
      <c r="W20" s="11">
        <v>5</v>
      </c>
      <c r="X20" s="15"/>
      <c r="Y20" s="11">
        <v>4</v>
      </c>
      <c r="Z20" s="11"/>
    </row>
    <row r="21" spans="3:26" ht="18" thickBot="1" x14ac:dyDescent="0.25">
      <c r="C21" s="27"/>
      <c r="D21" t="s">
        <v>36</v>
      </c>
      <c r="K21" s="4"/>
      <c r="L21" s="8" t="s">
        <v>14</v>
      </c>
      <c r="M21" s="11">
        <v>3</v>
      </c>
      <c r="N21" s="11"/>
      <c r="O21" s="11"/>
      <c r="P21" s="15"/>
      <c r="Q21" s="11"/>
      <c r="R21" s="11"/>
      <c r="S21" s="11">
        <v>6</v>
      </c>
      <c r="T21" s="15"/>
      <c r="U21" s="11"/>
      <c r="V21" s="11"/>
      <c r="W21" s="11">
        <v>9</v>
      </c>
      <c r="X21" s="15"/>
      <c r="Y21" s="11">
        <v>6</v>
      </c>
      <c r="Z21" s="11"/>
    </row>
    <row r="22" spans="3:26" ht="18" thickBot="1" x14ac:dyDescent="0.25">
      <c r="C22" s="27"/>
      <c r="D22" t="s">
        <v>37</v>
      </c>
      <c r="K22" s="4"/>
      <c r="L22" s="8" t="s">
        <v>15</v>
      </c>
      <c r="M22" s="11">
        <v>2</v>
      </c>
      <c r="N22" s="11"/>
      <c r="O22" s="11"/>
      <c r="P22" s="15"/>
      <c r="Q22" s="11"/>
      <c r="R22" s="11"/>
      <c r="S22" s="11">
        <v>5</v>
      </c>
      <c r="T22" s="15"/>
      <c r="U22" s="11"/>
      <c r="V22" s="11"/>
      <c r="W22" s="11">
        <v>8</v>
      </c>
      <c r="X22" s="15"/>
      <c r="Y22" s="11">
        <v>5</v>
      </c>
      <c r="Z22" s="11"/>
    </row>
    <row r="23" spans="3:26" ht="18" thickBot="1" x14ac:dyDescent="0.25">
      <c r="C23" s="27"/>
      <c r="D23" t="s">
        <v>38</v>
      </c>
      <c r="K23" s="4"/>
      <c r="L23" s="8" t="s">
        <v>16</v>
      </c>
      <c r="M23" s="11">
        <v>4</v>
      </c>
      <c r="N23" s="11"/>
      <c r="O23" s="11"/>
      <c r="P23" s="15"/>
      <c r="Q23" s="11"/>
      <c r="R23" s="11"/>
      <c r="S23" s="11">
        <v>6</v>
      </c>
      <c r="T23" s="15"/>
      <c r="U23" s="11"/>
      <c r="V23" s="11"/>
      <c r="W23" s="11">
        <v>10</v>
      </c>
      <c r="X23" s="15"/>
      <c r="Y23" s="11">
        <v>7</v>
      </c>
      <c r="Z23" s="11"/>
    </row>
    <row r="24" spans="3:26" ht="18" thickBot="1" x14ac:dyDescent="0.25">
      <c r="C24" s="27" t="s">
        <v>7</v>
      </c>
      <c r="D24" t="s">
        <v>35</v>
      </c>
      <c r="K24" s="4"/>
      <c r="L24" s="8" t="s">
        <v>17</v>
      </c>
      <c r="M24" s="11">
        <v>3</v>
      </c>
      <c r="N24" s="11"/>
      <c r="O24" s="11"/>
      <c r="P24" s="15"/>
      <c r="Q24" s="11"/>
      <c r="R24" s="11"/>
      <c r="S24" s="11">
        <v>5</v>
      </c>
      <c r="T24" s="15"/>
      <c r="U24" s="11"/>
      <c r="V24" s="11"/>
      <c r="W24" s="11">
        <v>7</v>
      </c>
      <c r="X24" s="15"/>
      <c r="Y24" s="11">
        <v>5</v>
      </c>
      <c r="Z24" s="11"/>
    </row>
    <row r="25" spans="3:26" ht="18" thickBot="1" x14ac:dyDescent="0.25">
      <c r="C25" s="27"/>
      <c r="D25" t="s">
        <v>36</v>
      </c>
      <c r="K25" s="4"/>
      <c r="L25" s="8" t="s">
        <v>18</v>
      </c>
      <c r="M25" s="11">
        <v>3</v>
      </c>
      <c r="N25" s="11"/>
      <c r="O25" s="11"/>
      <c r="P25" s="15"/>
      <c r="Q25" s="11"/>
      <c r="R25" s="11"/>
      <c r="S25" s="11">
        <v>5</v>
      </c>
      <c r="T25" s="15"/>
      <c r="U25" s="11"/>
      <c r="V25" s="11"/>
      <c r="W25" s="11">
        <v>7</v>
      </c>
      <c r="X25" s="15"/>
      <c r="Y25" s="11">
        <v>5</v>
      </c>
      <c r="Z25" s="11"/>
    </row>
    <row r="26" spans="3:26" ht="18" thickBot="1" x14ac:dyDescent="0.25">
      <c r="C26" s="27"/>
      <c r="D26" t="s">
        <v>37</v>
      </c>
      <c r="K26" s="4"/>
      <c r="L26" s="8" t="s">
        <v>19</v>
      </c>
      <c r="M26" s="11">
        <v>4</v>
      </c>
      <c r="N26" s="11"/>
      <c r="O26" s="11"/>
      <c r="P26" s="15"/>
      <c r="Q26" s="11"/>
      <c r="R26" s="11"/>
      <c r="S26" s="11">
        <v>4</v>
      </c>
      <c r="T26" s="15"/>
      <c r="U26" s="11"/>
      <c r="V26" s="11"/>
      <c r="W26" s="11">
        <v>5</v>
      </c>
      <c r="X26" s="15"/>
      <c r="Y26" s="11">
        <v>5</v>
      </c>
      <c r="Z26" s="11"/>
    </row>
    <row r="27" spans="3:26" ht="18" thickBot="1" x14ac:dyDescent="0.25">
      <c r="C27" s="27"/>
      <c r="D27" t="s">
        <v>38</v>
      </c>
      <c r="K27" s="4"/>
      <c r="L27" s="8" t="s">
        <v>20</v>
      </c>
      <c r="M27" s="11">
        <v>3</v>
      </c>
      <c r="N27" s="11"/>
      <c r="O27" s="11"/>
      <c r="P27" s="15"/>
      <c r="Q27" s="11"/>
      <c r="R27" s="11"/>
      <c r="S27" s="11">
        <v>3</v>
      </c>
      <c r="T27" s="15"/>
      <c r="U27" s="11"/>
      <c r="V27" s="11"/>
      <c r="W27" s="11">
        <v>4</v>
      </c>
      <c r="X27" s="15"/>
      <c r="Y27" s="11">
        <v>4</v>
      </c>
      <c r="Z27" s="11"/>
    </row>
    <row r="28" spans="3:26" ht="18" thickBot="1" x14ac:dyDescent="0.25">
      <c r="C28" s="27" t="s">
        <v>8</v>
      </c>
      <c r="D28" t="s">
        <v>35</v>
      </c>
      <c r="K28" s="4"/>
      <c r="L28" s="8" t="s">
        <v>21</v>
      </c>
      <c r="M28" s="11">
        <v>4</v>
      </c>
      <c r="N28" s="11"/>
      <c r="O28" s="11"/>
      <c r="P28" s="15"/>
      <c r="Q28" s="11"/>
      <c r="R28" s="11"/>
      <c r="S28" s="11">
        <v>3</v>
      </c>
      <c r="T28" s="15"/>
      <c r="U28" s="11"/>
      <c r="V28" s="11"/>
      <c r="W28" s="11">
        <v>4</v>
      </c>
      <c r="X28" s="15"/>
      <c r="Y28" s="11">
        <v>4</v>
      </c>
      <c r="Z28" s="11"/>
    </row>
    <row r="29" spans="3:26" ht="18" thickBot="1" x14ac:dyDescent="0.25">
      <c r="C29" s="27"/>
      <c r="D29" t="s">
        <v>36</v>
      </c>
      <c r="K29" s="4"/>
      <c r="L29" s="8" t="s">
        <v>22</v>
      </c>
      <c r="M29" s="11">
        <v>2</v>
      </c>
      <c r="N29" s="11"/>
      <c r="O29" s="11"/>
      <c r="P29" s="15"/>
      <c r="Q29" s="11"/>
      <c r="R29" s="11"/>
      <c r="S29" s="11">
        <v>5</v>
      </c>
      <c r="T29" s="15"/>
      <c r="U29" s="11"/>
      <c r="V29" s="11"/>
      <c r="W29" s="11">
        <v>7</v>
      </c>
      <c r="X29" s="15"/>
      <c r="Y29" s="11">
        <v>5</v>
      </c>
      <c r="Z29" s="11"/>
    </row>
    <row r="30" spans="3:26" ht="18" thickBot="1" x14ac:dyDescent="0.25">
      <c r="C30" s="27"/>
      <c r="D30" t="s">
        <v>37</v>
      </c>
      <c r="K30" s="4"/>
      <c r="L30" s="8" t="s">
        <v>23</v>
      </c>
      <c r="M30" s="11">
        <v>2</v>
      </c>
      <c r="N30" s="11"/>
      <c r="O30" s="11"/>
      <c r="P30" s="15"/>
      <c r="Q30" s="11"/>
      <c r="R30" s="11"/>
      <c r="S30" s="11">
        <v>4</v>
      </c>
      <c r="T30" s="15"/>
      <c r="U30" s="11"/>
      <c r="V30" s="11"/>
      <c r="W30" s="11">
        <v>6</v>
      </c>
      <c r="X30" s="15"/>
      <c r="Y30" s="11">
        <v>4</v>
      </c>
      <c r="Z30" s="11"/>
    </row>
    <row r="31" spans="3:26" ht="18" thickBot="1" x14ac:dyDescent="0.25">
      <c r="C31" s="27"/>
      <c r="D31" t="s">
        <v>38</v>
      </c>
      <c r="K31" s="4"/>
      <c r="L31" s="8" t="s">
        <v>24</v>
      </c>
      <c r="M31" s="11">
        <v>3</v>
      </c>
      <c r="N31" s="11"/>
      <c r="O31" s="11"/>
      <c r="P31" s="15"/>
      <c r="Q31" s="11"/>
      <c r="R31" s="11"/>
      <c r="S31" s="11">
        <v>4</v>
      </c>
      <c r="T31" s="15"/>
      <c r="U31" s="11"/>
      <c r="V31" s="11"/>
      <c r="W31" s="11">
        <v>6</v>
      </c>
      <c r="X31" s="15"/>
      <c r="Y31" s="11">
        <v>5</v>
      </c>
      <c r="Z31" s="11"/>
    </row>
    <row r="32" spans="3:26" ht="18" thickBot="1" x14ac:dyDescent="0.25">
      <c r="C32" s="27" t="s">
        <v>9</v>
      </c>
      <c r="D32" t="s">
        <v>35</v>
      </c>
      <c r="K32" s="4"/>
      <c r="L32" s="8" t="s">
        <v>25</v>
      </c>
      <c r="M32" s="11">
        <v>2</v>
      </c>
      <c r="N32" s="11"/>
      <c r="O32" s="11"/>
      <c r="P32" s="15"/>
      <c r="Q32" s="11"/>
      <c r="R32" s="11"/>
      <c r="S32" s="11">
        <v>3</v>
      </c>
      <c r="T32" s="15"/>
      <c r="U32" s="11"/>
      <c r="V32" s="11"/>
      <c r="W32" s="11">
        <v>6</v>
      </c>
      <c r="X32" s="15"/>
      <c r="Y32" s="11">
        <v>4</v>
      </c>
      <c r="Z32" s="11"/>
    </row>
    <row r="33" spans="3:26" ht="18" thickBot="1" x14ac:dyDescent="0.25">
      <c r="C33" s="27"/>
      <c r="D33" t="s">
        <v>35</v>
      </c>
      <c r="K33" s="4"/>
      <c r="L33" s="8" t="s">
        <v>26</v>
      </c>
      <c r="M33" s="11">
        <v>3</v>
      </c>
      <c r="N33" s="11"/>
      <c r="O33" s="11"/>
      <c r="P33" s="15"/>
      <c r="Q33" s="11"/>
      <c r="R33" s="11"/>
      <c r="S33" s="11">
        <v>5</v>
      </c>
      <c r="T33" s="15"/>
      <c r="U33" s="11"/>
      <c r="V33" s="11"/>
      <c r="W33" s="11">
        <v>9</v>
      </c>
      <c r="X33" s="15"/>
      <c r="Y33" s="11">
        <v>6</v>
      </c>
      <c r="Z33" s="11"/>
    </row>
    <row r="34" spans="3:26" ht="18" thickBot="1" x14ac:dyDescent="0.25">
      <c r="C34" s="27"/>
      <c r="D34" t="s">
        <v>36</v>
      </c>
      <c r="K34" s="4"/>
      <c r="L34" s="8" t="s">
        <v>27</v>
      </c>
      <c r="M34" s="11">
        <v>2</v>
      </c>
      <c r="N34" s="11"/>
      <c r="O34" s="11"/>
      <c r="P34" s="15"/>
      <c r="Q34" s="11"/>
      <c r="R34" s="11"/>
      <c r="S34" s="11">
        <v>6</v>
      </c>
      <c r="T34" s="15"/>
      <c r="U34" s="11"/>
      <c r="V34" s="11"/>
      <c r="W34" s="11">
        <v>10</v>
      </c>
      <c r="X34" s="15"/>
      <c r="Y34" s="11">
        <v>6</v>
      </c>
      <c r="Z34" s="11"/>
    </row>
    <row r="35" spans="3:26" ht="18" thickBot="1" x14ac:dyDescent="0.25">
      <c r="C35" s="27"/>
      <c r="D35" t="s">
        <v>37</v>
      </c>
      <c r="K35" s="4"/>
      <c r="L35" s="8" t="s">
        <v>28</v>
      </c>
      <c r="M35" s="11">
        <v>3</v>
      </c>
      <c r="N35" s="11"/>
      <c r="O35" s="11"/>
      <c r="P35" s="15"/>
      <c r="Q35" s="11"/>
      <c r="R35" s="11"/>
      <c r="S35" s="11">
        <v>5</v>
      </c>
      <c r="T35" s="15"/>
      <c r="U35" s="11"/>
      <c r="V35" s="11"/>
      <c r="W35" s="11">
        <v>9</v>
      </c>
      <c r="X35" s="15"/>
      <c r="Y35" s="11">
        <v>6</v>
      </c>
      <c r="Z35" s="11"/>
    </row>
    <row r="36" spans="3:26" ht="18" thickBot="1" x14ac:dyDescent="0.25">
      <c r="C36" s="27" t="s">
        <v>10</v>
      </c>
      <c r="D36" t="s">
        <v>38</v>
      </c>
      <c r="K36" s="4"/>
      <c r="L36" s="8" t="s">
        <v>29</v>
      </c>
      <c r="M36" s="11">
        <v>2</v>
      </c>
      <c r="N36" s="11"/>
      <c r="O36" s="11"/>
      <c r="P36" s="15"/>
      <c r="Q36" s="11"/>
      <c r="R36" s="11"/>
      <c r="S36" s="11">
        <v>4</v>
      </c>
      <c r="T36" s="15"/>
      <c r="U36" s="11"/>
      <c r="V36" s="11"/>
      <c r="W36" s="11">
        <v>5</v>
      </c>
      <c r="X36" s="15"/>
      <c r="Y36" s="11">
        <v>4</v>
      </c>
      <c r="Z36" s="11"/>
    </row>
    <row r="37" spans="3:26" ht="18" thickBot="1" x14ac:dyDescent="0.25">
      <c r="C37" s="27"/>
      <c r="D37" t="s">
        <v>35</v>
      </c>
      <c r="K37" s="4"/>
      <c r="L37" s="8" t="s">
        <v>30</v>
      </c>
      <c r="M37" s="11">
        <v>2</v>
      </c>
      <c r="N37" s="11"/>
      <c r="O37" s="11"/>
      <c r="P37" s="15"/>
      <c r="Q37" s="11"/>
      <c r="R37" s="11"/>
      <c r="S37" s="11">
        <v>4</v>
      </c>
      <c r="T37" s="15"/>
      <c r="U37" s="11"/>
      <c r="V37" s="11"/>
      <c r="W37" s="11">
        <v>6</v>
      </c>
      <c r="X37" s="15"/>
      <c r="Y37" s="11">
        <v>4</v>
      </c>
      <c r="Z37" s="11"/>
    </row>
    <row r="38" spans="3:26" ht="18" thickBot="1" x14ac:dyDescent="0.25">
      <c r="C38" s="27"/>
      <c r="D38" t="s">
        <v>36</v>
      </c>
      <c r="K38" s="4"/>
      <c r="L38" s="8" t="s">
        <v>31</v>
      </c>
      <c r="M38" s="11">
        <v>3</v>
      </c>
      <c r="N38" s="11"/>
      <c r="O38" s="11"/>
      <c r="P38" s="15"/>
      <c r="Q38" s="11"/>
      <c r="R38" s="11"/>
      <c r="S38" s="11">
        <v>5</v>
      </c>
      <c r="T38" s="15"/>
      <c r="U38" s="11"/>
      <c r="V38" s="11"/>
      <c r="W38" s="11">
        <v>8</v>
      </c>
      <c r="X38" s="15"/>
      <c r="Y38" s="11">
        <v>6</v>
      </c>
      <c r="Z38" s="11"/>
    </row>
    <row r="39" spans="3:26" ht="18" thickBot="1" x14ac:dyDescent="0.25">
      <c r="C39" s="27"/>
      <c r="D39" t="s">
        <v>37</v>
      </c>
      <c r="K39" s="4"/>
      <c r="L39" s="8" t="s">
        <v>32</v>
      </c>
      <c r="M39" s="11">
        <v>3</v>
      </c>
      <c r="N39" s="11"/>
      <c r="O39" s="11"/>
      <c r="P39" s="15"/>
      <c r="Q39" s="11"/>
      <c r="R39" s="11"/>
      <c r="S39" s="11">
        <v>4</v>
      </c>
      <c r="T39" s="15"/>
      <c r="U39" s="11"/>
      <c r="V39" s="11"/>
      <c r="W39" s="11">
        <v>5</v>
      </c>
      <c r="X39" s="15"/>
      <c r="Y39" s="11">
        <v>4</v>
      </c>
      <c r="Z39" s="11"/>
    </row>
    <row r="40" spans="3:26" ht="18" thickBot="1" x14ac:dyDescent="0.25">
      <c r="C40" s="27" t="s">
        <v>11</v>
      </c>
      <c r="D40" t="s">
        <v>38</v>
      </c>
      <c r="K40" s="4"/>
      <c r="L40" s="8" t="s">
        <v>33</v>
      </c>
      <c r="M40" s="11">
        <v>3</v>
      </c>
      <c r="N40" s="11"/>
      <c r="O40" s="11"/>
      <c r="P40" s="15"/>
      <c r="Q40" s="11"/>
      <c r="R40" s="11"/>
      <c r="S40" s="11">
        <v>4</v>
      </c>
      <c r="T40" s="15"/>
      <c r="U40" s="11"/>
      <c r="V40" s="11"/>
      <c r="W40" s="11">
        <v>7</v>
      </c>
      <c r="X40" s="15"/>
      <c r="Y40" s="11">
        <v>5</v>
      </c>
      <c r="Z40" s="11"/>
    </row>
    <row r="41" spans="3:26" ht="18" thickBot="1" x14ac:dyDescent="0.25">
      <c r="C41" s="27"/>
      <c r="D41" t="s">
        <v>35</v>
      </c>
      <c r="K41" s="4"/>
      <c r="L41" s="8" t="s">
        <v>34</v>
      </c>
      <c r="M41" s="11">
        <v>2</v>
      </c>
      <c r="N41" s="11"/>
      <c r="O41" s="11"/>
      <c r="P41" s="15"/>
      <c r="Q41" s="11"/>
      <c r="R41" s="11"/>
      <c r="S41" s="11">
        <v>5</v>
      </c>
      <c r="T41" s="15"/>
      <c r="U41" s="11"/>
      <c r="V41" s="11"/>
      <c r="W41" s="11">
        <v>8</v>
      </c>
      <c r="X41" s="15"/>
      <c r="Y41" s="11">
        <v>5</v>
      </c>
      <c r="Z41" s="11"/>
    </row>
    <row r="42" spans="3:26" ht="18" thickBot="1" x14ac:dyDescent="0.25">
      <c r="C42" s="27"/>
      <c r="D42" t="s">
        <v>36</v>
      </c>
      <c r="K42" s="4"/>
      <c r="L42" s="41" t="s">
        <v>52</v>
      </c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3"/>
      <c r="X42" s="24"/>
      <c r="Y42" s="11"/>
      <c r="Z42" s="12"/>
    </row>
    <row r="43" spans="3:26" x14ac:dyDescent="0.2">
      <c r="C43" s="27"/>
      <c r="D43" t="s">
        <v>37</v>
      </c>
      <c r="K43" s="4"/>
      <c r="L43" s="3"/>
    </row>
    <row r="44" spans="3:26" x14ac:dyDescent="0.2">
      <c r="C44" s="27" t="s">
        <v>12</v>
      </c>
      <c r="D44" t="s">
        <v>38</v>
      </c>
      <c r="K44" s="4"/>
      <c r="L44" s="3"/>
    </row>
    <row r="45" spans="3:26" x14ac:dyDescent="0.2">
      <c r="C45" s="27"/>
      <c r="D45" t="s">
        <v>35</v>
      </c>
      <c r="K45" s="4"/>
      <c r="L45" s="3"/>
    </row>
    <row r="46" spans="3:26" x14ac:dyDescent="0.2">
      <c r="C46" s="27"/>
      <c r="D46" t="s">
        <v>36</v>
      </c>
      <c r="K46" s="4"/>
      <c r="L46" s="3"/>
    </row>
    <row r="47" spans="3:26" x14ac:dyDescent="0.2">
      <c r="C47" s="27"/>
      <c r="D47" t="s">
        <v>37</v>
      </c>
      <c r="K47" s="4"/>
      <c r="L47" s="3"/>
    </row>
    <row r="48" spans="3:26" x14ac:dyDescent="0.2">
      <c r="C48" s="27" t="s">
        <v>13</v>
      </c>
      <c r="D48" t="s">
        <v>38</v>
      </c>
      <c r="K48" s="4"/>
      <c r="L48" s="4"/>
    </row>
    <row r="49" spans="3:25" x14ac:dyDescent="0.2">
      <c r="C49" s="27"/>
      <c r="D49" t="s">
        <v>35</v>
      </c>
      <c r="K49" s="4"/>
      <c r="L49" s="4"/>
    </row>
    <row r="50" spans="3:25" x14ac:dyDescent="0.2">
      <c r="C50" s="27"/>
      <c r="D50" t="s">
        <v>35</v>
      </c>
      <c r="K50" s="4"/>
      <c r="L50" s="4"/>
    </row>
    <row r="51" spans="3:25" x14ac:dyDescent="0.2">
      <c r="C51" s="27"/>
      <c r="D51" t="s">
        <v>36</v>
      </c>
      <c r="K51" s="4"/>
      <c r="L51" s="4"/>
    </row>
    <row r="52" spans="3:25" x14ac:dyDescent="0.2">
      <c r="C52" s="27" t="s">
        <v>14</v>
      </c>
      <c r="D52" t="s">
        <v>37</v>
      </c>
      <c r="K52" s="4"/>
      <c r="L52" s="4"/>
    </row>
    <row r="53" spans="3:25" x14ac:dyDescent="0.2">
      <c r="C53" s="27"/>
      <c r="D53" t="s">
        <v>38</v>
      </c>
      <c r="K53" s="4"/>
      <c r="L53" s="4"/>
    </row>
    <row r="54" spans="3:25" x14ac:dyDescent="0.2">
      <c r="C54" s="27"/>
      <c r="D54" t="s">
        <v>35</v>
      </c>
      <c r="K54" s="3"/>
      <c r="L54" s="4"/>
    </row>
    <row r="55" spans="3:25" x14ac:dyDescent="0.2">
      <c r="C55" s="27"/>
      <c r="D55" t="s">
        <v>36</v>
      </c>
      <c r="K55" s="3"/>
      <c r="L55" s="4"/>
    </row>
    <row r="56" spans="3:25" x14ac:dyDescent="0.2">
      <c r="C56" s="27" t="s">
        <v>15</v>
      </c>
      <c r="D56" t="s">
        <v>37</v>
      </c>
      <c r="K56" s="3"/>
      <c r="L56" s="19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</row>
    <row r="57" spans="3:25" ht="25.5" x14ac:dyDescent="0.2">
      <c r="C57" s="27"/>
      <c r="D57" t="s">
        <v>38</v>
      </c>
      <c r="K57" s="3"/>
      <c r="L57" s="21" t="s">
        <v>53</v>
      </c>
      <c r="M57" s="45" t="s">
        <v>70</v>
      </c>
      <c r="N57" s="46"/>
      <c r="O57" s="46"/>
      <c r="P57" s="47"/>
      <c r="Q57" s="45" t="s">
        <v>54</v>
      </c>
      <c r="R57" s="46"/>
      <c r="S57" s="46"/>
      <c r="T57" s="47"/>
      <c r="U57" s="45" t="s">
        <v>71</v>
      </c>
      <c r="V57" s="46"/>
      <c r="W57" s="46"/>
      <c r="X57" s="47"/>
      <c r="Y57" s="21" t="s">
        <v>55</v>
      </c>
    </row>
    <row r="58" spans="3:25" x14ac:dyDescent="0.2">
      <c r="C58" s="27"/>
      <c r="D58" t="s">
        <v>35</v>
      </c>
      <c r="K58" s="3"/>
      <c r="L58" s="21" t="s">
        <v>56</v>
      </c>
      <c r="M58" s="18">
        <v>2</v>
      </c>
      <c r="N58" s="18">
        <v>3</v>
      </c>
      <c r="O58" s="18">
        <v>4</v>
      </c>
      <c r="P58" s="26">
        <v>3</v>
      </c>
      <c r="Q58" s="18">
        <v>1</v>
      </c>
      <c r="R58" s="18">
        <v>2</v>
      </c>
      <c r="S58" s="18">
        <v>3</v>
      </c>
      <c r="T58" s="26">
        <f>(Q58+4*R58+S58)/6</f>
        <v>2</v>
      </c>
      <c r="U58" s="18">
        <v>2.5000000000000001E-2</v>
      </c>
      <c r="V58" s="18">
        <v>7.0000000000000007E-2</v>
      </c>
      <c r="W58" s="18">
        <v>0.13500000000000001</v>
      </c>
      <c r="X58" s="25">
        <f>(U58+4*V58+W58)/6</f>
        <v>7.3333333333333348E-2</v>
      </c>
      <c r="Y58" s="44"/>
    </row>
    <row r="59" spans="3:25" x14ac:dyDescent="0.2">
      <c r="C59" s="27"/>
      <c r="D59" t="s">
        <v>36</v>
      </c>
      <c r="K59" s="3"/>
      <c r="L59" s="21" t="s">
        <v>57</v>
      </c>
      <c r="M59" s="18">
        <v>3</v>
      </c>
      <c r="N59" s="18">
        <v>4</v>
      </c>
      <c r="O59" s="18">
        <v>6</v>
      </c>
      <c r="P59" s="26">
        <v>4.17</v>
      </c>
      <c r="Q59" s="18">
        <v>1</v>
      </c>
      <c r="R59" s="18">
        <v>2</v>
      </c>
      <c r="S59" s="18">
        <v>4</v>
      </c>
      <c r="T59" s="26">
        <f t="shared" ref="T59:T78" si="0">(Q59+4*R59+S59)/6</f>
        <v>2.1666666666666665</v>
      </c>
      <c r="U59" s="18">
        <v>3.5000000000000003E-2</v>
      </c>
      <c r="V59" s="18">
        <v>0.09</v>
      </c>
      <c r="W59" s="18">
        <v>0.26</v>
      </c>
      <c r="X59" s="25">
        <f t="shared" ref="X59:X78" si="1">(U59+4*V59+W59)/6</f>
        <v>0.10916666666666668</v>
      </c>
      <c r="Y59" s="44"/>
    </row>
    <row r="60" spans="3:25" x14ac:dyDescent="0.2">
      <c r="C60" s="30"/>
      <c r="D60" t="s">
        <v>38</v>
      </c>
      <c r="K60" s="3"/>
      <c r="L60" s="21" t="s">
        <v>58</v>
      </c>
      <c r="M60" s="18">
        <v>1</v>
      </c>
      <c r="N60" s="18">
        <v>2</v>
      </c>
      <c r="O60" s="18">
        <v>3</v>
      </c>
      <c r="P60" s="26">
        <v>2</v>
      </c>
      <c r="Q60" s="18">
        <v>1</v>
      </c>
      <c r="R60" s="18">
        <v>2</v>
      </c>
      <c r="S60" s="18">
        <v>3</v>
      </c>
      <c r="T60" s="26">
        <f t="shared" si="0"/>
        <v>2</v>
      </c>
      <c r="U60" s="18">
        <v>1.4999999999999999E-2</v>
      </c>
      <c r="V60" s="18">
        <v>0.05</v>
      </c>
      <c r="W60" s="18">
        <v>0.105</v>
      </c>
      <c r="X60" s="25">
        <f t="shared" si="1"/>
        <v>5.3333333333333337E-2</v>
      </c>
      <c r="Y60" s="44"/>
    </row>
    <row r="61" spans="3:25" x14ac:dyDescent="0.2">
      <c r="C61" s="30"/>
      <c r="D61" t="s">
        <v>35</v>
      </c>
      <c r="K61" s="3"/>
      <c r="L61" s="21" t="s">
        <v>59</v>
      </c>
      <c r="M61" s="18">
        <v>1</v>
      </c>
      <c r="N61" s="18">
        <v>2</v>
      </c>
      <c r="O61" s="18">
        <v>3</v>
      </c>
      <c r="P61" s="26">
        <v>2</v>
      </c>
      <c r="Q61" s="18">
        <v>1</v>
      </c>
      <c r="R61" s="18">
        <v>2</v>
      </c>
      <c r="S61" s="18">
        <v>3</v>
      </c>
      <c r="T61" s="26">
        <f t="shared" si="0"/>
        <v>2</v>
      </c>
      <c r="U61" s="18">
        <v>1.4999999999999999E-2</v>
      </c>
      <c r="V61" s="18">
        <v>0.05</v>
      </c>
      <c r="W61" s="18">
        <v>0.105</v>
      </c>
      <c r="X61" s="25">
        <f t="shared" si="1"/>
        <v>5.3333333333333337E-2</v>
      </c>
      <c r="Y61" s="44"/>
    </row>
    <row r="62" spans="3:25" x14ac:dyDescent="0.2">
      <c r="C62" s="30"/>
      <c r="D62" t="s">
        <v>36</v>
      </c>
      <c r="K62" s="3"/>
      <c r="L62" s="21" t="s">
        <v>60</v>
      </c>
      <c r="M62" s="18">
        <v>1</v>
      </c>
      <c r="N62" s="18">
        <v>2</v>
      </c>
      <c r="O62" s="18">
        <v>3</v>
      </c>
      <c r="P62" s="26">
        <v>2</v>
      </c>
      <c r="Q62" s="18">
        <v>1</v>
      </c>
      <c r="R62" s="18">
        <v>2</v>
      </c>
      <c r="S62" s="18">
        <v>3</v>
      </c>
      <c r="T62" s="26">
        <f t="shared" si="0"/>
        <v>2</v>
      </c>
      <c r="U62" s="18">
        <v>1.4999999999999999E-2</v>
      </c>
      <c r="V62" s="18">
        <v>0.05</v>
      </c>
      <c r="W62" s="18">
        <v>0.105</v>
      </c>
      <c r="X62" s="25">
        <f t="shared" si="1"/>
        <v>5.3333333333333337E-2</v>
      </c>
      <c r="Y62" s="44"/>
    </row>
    <row r="63" spans="3:25" x14ac:dyDescent="0.2">
      <c r="C63" s="30" t="s">
        <v>17</v>
      </c>
      <c r="D63" t="s">
        <v>37</v>
      </c>
      <c r="K63" s="3"/>
      <c r="L63" s="21" t="s">
        <v>61</v>
      </c>
      <c r="M63" s="18">
        <v>2</v>
      </c>
      <c r="N63" s="18">
        <v>3</v>
      </c>
      <c r="O63" s="18">
        <v>3</v>
      </c>
      <c r="P63" s="26">
        <v>2.83</v>
      </c>
      <c r="Q63" s="18">
        <v>1</v>
      </c>
      <c r="R63" s="18">
        <v>2</v>
      </c>
      <c r="S63" s="18">
        <v>3</v>
      </c>
      <c r="T63" s="26">
        <f t="shared" si="0"/>
        <v>2</v>
      </c>
      <c r="U63" s="18">
        <v>2.5000000000000001E-2</v>
      </c>
      <c r="V63" s="18">
        <v>7.0000000000000007E-2</v>
      </c>
      <c r="W63" s="18">
        <v>0.105</v>
      </c>
      <c r="X63" s="25">
        <f t="shared" si="1"/>
        <v>6.8333333333333343E-2</v>
      </c>
      <c r="Y63" s="44"/>
    </row>
    <row r="64" spans="3:25" x14ac:dyDescent="0.2">
      <c r="C64" s="30"/>
      <c r="D64" t="s">
        <v>38</v>
      </c>
      <c r="K64" s="3"/>
      <c r="L64" s="21" t="s">
        <v>62</v>
      </c>
      <c r="M64" s="18">
        <v>2</v>
      </c>
      <c r="N64" s="18">
        <v>2</v>
      </c>
      <c r="O64" s="18">
        <v>3</v>
      </c>
      <c r="P64" s="26">
        <v>2.17</v>
      </c>
      <c r="Q64" s="18">
        <v>1</v>
      </c>
      <c r="R64" s="18">
        <v>2</v>
      </c>
      <c r="S64" s="18">
        <v>3</v>
      </c>
      <c r="T64" s="26">
        <f t="shared" si="0"/>
        <v>2</v>
      </c>
      <c r="U64" s="18">
        <v>2.5000000000000001E-2</v>
      </c>
      <c r="V64" s="18">
        <v>0.05</v>
      </c>
      <c r="W64" s="18">
        <v>0.105</v>
      </c>
      <c r="X64" s="25">
        <f t="shared" si="1"/>
        <v>5.5E-2</v>
      </c>
      <c r="Y64" s="44"/>
    </row>
    <row r="65" spans="3:25" x14ac:dyDescent="0.2">
      <c r="C65" s="30"/>
      <c r="D65" t="s">
        <v>35</v>
      </c>
      <c r="K65" s="3"/>
      <c r="L65" s="21" t="s">
        <v>17</v>
      </c>
      <c r="M65" s="18">
        <v>1</v>
      </c>
      <c r="N65" s="18">
        <v>2</v>
      </c>
      <c r="O65" s="18">
        <v>3</v>
      </c>
      <c r="P65" s="26">
        <v>2</v>
      </c>
      <c r="Q65" s="18">
        <v>1</v>
      </c>
      <c r="R65" s="18">
        <v>2</v>
      </c>
      <c r="S65" s="18">
        <v>3</v>
      </c>
      <c r="T65" s="26">
        <f t="shared" si="0"/>
        <v>2</v>
      </c>
      <c r="U65" s="18">
        <v>1.4999999999999999E-2</v>
      </c>
      <c r="V65" s="18">
        <v>0.05</v>
      </c>
      <c r="W65" s="18">
        <v>0.105</v>
      </c>
      <c r="X65" s="25">
        <f t="shared" si="1"/>
        <v>5.3333333333333337E-2</v>
      </c>
      <c r="Y65" s="48"/>
    </row>
    <row r="66" spans="3:25" x14ac:dyDescent="0.2">
      <c r="C66" s="30" t="s">
        <v>18</v>
      </c>
      <c r="D66" t="s">
        <v>36</v>
      </c>
      <c r="K66" s="3"/>
      <c r="L66" s="21" t="s">
        <v>63</v>
      </c>
      <c r="M66" s="18">
        <v>1</v>
      </c>
      <c r="N66" s="18">
        <v>2</v>
      </c>
      <c r="O66" s="18">
        <v>3</v>
      </c>
      <c r="P66" s="26">
        <v>2</v>
      </c>
      <c r="Q66" s="18">
        <v>1</v>
      </c>
      <c r="R66" s="18">
        <v>2</v>
      </c>
      <c r="S66" s="18">
        <v>3</v>
      </c>
      <c r="T66" s="26">
        <f t="shared" si="0"/>
        <v>2</v>
      </c>
      <c r="U66" s="18">
        <v>1.4999999999999999E-2</v>
      </c>
      <c r="V66" s="18">
        <v>0.05</v>
      </c>
      <c r="W66" s="18">
        <v>0.105</v>
      </c>
      <c r="X66" s="25">
        <f t="shared" si="1"/>
        <v>5.3333333333333337E-2</v>
      </c>
      <c r="Y66" s="48"/>
    </row>
    <row r="67" spans="3:25" x14ac:dyDescent="0.2">
      <c r="C67" s="30"/>
      <c r="D67" t="s">
        <v>37</v>
      </c>
      <c r="K67" s="3"/>
      <c r="L67" s="21" t="s">
        <v>19</v>
      </c>
      <c r="M67" s="18">
        <v>1</v>
      </c>
      <c r="N67" s="18">
        <v>2</v>
      </c>
      <c r="O67" s="18">
        <v>3</v>
      </c>
      <c r="P67" s="26">
        <v>2</v>
      </c>
      <c r="Q67" s="18">
        <v>1</v>
      </c>
      <c r="R67" s="18">
        <v>2</v>
      </c>
      <c r="S67" s="18">
        <v>3</v>
      </c>
      <c r="T67" s="26">
        <f t="shared" si="0"/>
        <v>2</v>
      </c>
      <c r="U67" s="18">
        <v>1.4999999999999999E-2</v>
      </c>
      <c r="V67" s="18">
        <v>0.05</v>
      </c>
      <c r="W67" s="18">
        <v>0.105</v>
      </c>
      <c r="X67" s="25">
        <f t="shared" si="1"/>
        <v>5.3333333333333337E-2</v>
      </c>
      <c r="Y67" s="48"/>
    </row>
    <row r="68" spans="3:25" x14ac:dyDescent="0.2">
      <c r="C68" s="30"/>
      <c r="D68" t="s">
        <v>38</v>
      </c>
      <c r="K68" s="3"/>
      <c r="L68" s="21" t="s">
        <v>20</v>
      </c>
      <c r="M68" s="18">
        <v>1</v>
      </c>
      <c r="N68" s="18">
        <v>2</v>
      </c>
      <c r="O68" s="18">
        <v>3</v>
      </c>
      <c r="P68" s="26">
        <v>2</v>
      </c>
      <c r="Q68" s="18">
        <v>1</v>
      </c>
      <c r="R68" s="18">
        <v>2</v>
      </c>
      <c r="S68" s="18">
        <v>3</v>
      </c>
      <c r="T68" s="26">
        <f t="shared" si="0"/>
        <v>2</v>
      </c>
      <c r="U68" s="18">
        <v>1.4999999999999999E-2</v>
      </c>
      <c r="V68" s="18">
        <v>0.05</v>
      </c>
      <c r="W68" s="18">
        <v>0.105</v>
      </c>
      <c r="X68" s="25">
        <f t="shared" si="1"/>
        <v>5.3333333333333337E-2</v>
      </c>
      <c r="Y68" s="48"/>
    </row>
    <row r="69" spans="3:25" x14ac:dyDescent="0.2">
      <c r="C69" s="30"/>
      <c r="D69" t="s">
        <v>35</v>
      </c>
      <c r="K69" s="3"/>
      <c r="L69" s="21" t="s">
        <v>21</v>
      </c>
      <c r="M69" s="18">
        <v>1</v>
      </c>
      <c r="N69" s="18">
        <v>2</v>
      </c>
      <c r="O69" s="18">
        <v>3</v>
      </c>
      <c r="P69" s="26">
        <v>2</v>
      </c>
      <c r="Q69" s="18">
        <v>1</v>
      </c>
      <c r="R69" s="18">
        <v>2</v>
      </c>
      <c r="S69" s="18">
        <v>3</v>
      </c>
      <c r="T69" s="26">
        <f t="shared" si="0"/>
        <v>2</v>
      </c>
      <c r="U69" s="18">
        <v>1.4999999999999999E-2</v>
      </c>
      <c r="V69" s="18">
        <v>0.05</v>
      </c>
      <c r="W69" s="18">
        <v>0.105</v>
      </c>
      <c r="X69" s="25">
        <f t="shared" si="1"/>
        <v>5.3333333333333337E-2</v>
      </c>
      <c r="Y69" s="48"/>
    </row>
    <row r="70" spans="3:25" x14ac:dyDescent="0.2">
      <c r="C70" s="30" t="s">
        <v>19</v>
      </c>
      <c r="D70" t="s">
        <v>36</v>
      </c>
      <c r="K70" s="3"/>
      <c r="L70" s="21" t="s">
        <v>22</v>
      </c>
      <c r="M70" s="18">
        <v>1</v>
      </c>
      <c r="N70" s="18">
        <v>2</v>
      </c>
      <c r="O70" s="18">
        <v>3</v>
      </c>
      <c r="P70" s="26">
        <v>2</v>
      </c>
      <c r="Q70" s="18">
        <v>1</v>
      </c>
      <c r="R70" s="18">
        <v>2</v>
      </c>
      <c r="S70" s="18">
        <v>3</v>
      </c>
      <c r="T70" s="26">
        <f t="shared" si="0"/>
        <v>2</v>
      </c>
      <c r="U70" s="18">
        <v>1.4999999999999999E-2</v>
      </c>
      <c r="V70" s="18">
        <v>0.05</v>
      </c>
      <c r="W70" s="18">
        <v>0.105</v>
      </c>
      <c r="X70" s="25">
        <f t="shared" si="1"/>
        <v>5.3333333333333337E-2</v>
      </c>
      <c r="Y70" s="48"/>
    </row>
    <row r="71" spans="3:25" x14ac:dyDescent="0.2">
      <c r="C71" s="30"/>
      <c r="D71" t="s">
        <v>37</v>
      </c>
      <c r="K71" s="3"/>
      <c r="L71" s="21" t="s">
        <v>23</v>
      </c>
      <c r="M71" s="18">
        <v>1</v>
      </c>
      <c r="N71" s="18">
        <v>2</v>
      </c>
      <c r="O71" s="18">
        <v>3</v>
      </c>
      <c r="P71" s="26">
        <v>2</v>
      </c>
      <c r="Q71" s="18">
        <v>1</v>
      </c>
      <c r="R71" s="18">
        <v>2</v>
      </c>
      <c r="S71" s="18">
        <v>3</v>
      </c>
      <c r="T71" s="26">
        <f t="shared" si="0"/>
        <v>2</v>
      </c>
      <c r="U71" s="18">
        <v>1.4999999999999999E-2</v>
      </c>
      <c r="V71" s="18">
        <v>0.05</v>
      </c>
      <c r="W71" s="18">
        <v>0.105</v>
      </c>
      <c r="X71" s="25">
        <f t="shared" si="1"/>
        <v>5.3333333333333337E-2</v>
      </c>
      <c r="Y71" s="48"/>
    </row>
    <row r="72" spans="3:25" x14ac:dyDescent="0.2">
      <c r="C72" s="30"/>
      <c r="D72" t="s">
        <v>38</v>
      </c>
      <c r="L72" s="21" t="s">
        <v>24</v>
      </c>
      <c r="M72" s="18">
        <v>1</v>
      </c>
      <c r="N72" s="18">
        <v>2</v>
      </c>
      <c r="O72" s="18">
        <v>3</v>
      </c>
      <c r="P72" s="26">
        <v>2</v>
      </c>
      <c r="Q72" s="18">
        <v>1</v>
      </c>
      <c r="R72" s="18">
        <v>2</v>
      </c>
      <c r="S72" s="18">
        <v>3</v>
      </c>
      <c r="T72" s="26">
        <f t="shared" si="0"/>
        <v>2</v>
      </c>
      <c r="U72" s="18">
        <v>1.4999999999999999E-2</v>
      </c>
      <c r="V72" s="18">
        <v>0.05</v>
      </c>
      <c r="W72" s="18">
        <v>0.105</v>
      </c>
      <c r="X72" s="25">
        <f t="shared" si="1"/>
        <v>5.3333333333333337E-2</v>
      </c>
      <c r="Y72" s="48"/>
    </row>
    <row r="73" spans="3:25" x14ac:dyDescent="0.2">
      <c r="C73" s="30"/>
      <c r="D73" t="s">
        <v>35</v>
      </c>
      <c r="L73" s="18" t="s">
        <v>64</v>
      </c>
      <c r="M73" s="18">
        <v>1</v>
      </c>
      <c r="N73" s="18">
        <v>2</v>
      </c>
      <c r="O73" s="18">
        <v>3</v>
      </c>
      <c r="P73" s="26">
        <v>2</v>
      </c>
      <c r="Q73" s="18">
        <v>1</v>
      </c>
      <c r="R73" s="18">
        <v>2</v>
      </c>
      <c r="S73" s="18">
        <v>3</v>
      </c>
      <c r="T73" s="26">
        <f t="shared" si="0"/>
        <v>2</v>
      </c>
      <c r="U73" s="18">
        <v>1.4999999999999999E-2</v>
      </c>
      <c r="V73" s="18">
        <v>0.05</v>
      </c>
      <c r="W73" s="18">
        <v>0.105</v>
      </c>
      <c r="X73" s="25">
        <f t="shared" si="1"/>
        <v>5.3333333333333337E-2</v>
      </c>
      <c r="Y73" s="48"/>
    </row>
    <row r="74" spans="3:25" x14ac:dyDescent="0.2">
      <c r="C74" s="30" t="s">
        <v>20</v>
      </c>
      <c r="D74" t="s">
        <v>36</v>
      </c>
      <c r="L74" s="21" t="s">
        <v>65</v>
      </c>
      <c r="M74" s="18">
        <v>1</v>
      </c>
      <c r="N74" s="18">
        <v>2</v>
      </c>
      <c r="O74" s="18">
        <v>3</v>
      </c>
      <c r="P74" s="26">
        <v>2</v>
      </c>
      <c r="Q74" s="18">
        <v>1</v>
      </c>
      <c r="R74" s="18">
        <v>2</v>
      </c>
      <c r="S74" s="18">
        <v>3</v>
      </c>
      <c r="T74" s="26">
        <f t="shared" si="0"/>
        <v>2</v>
      </c>
      <c r="U74" s="18">
        <v>1.4999999999999999E-2</v>
      </c>
      <c r="V74" s="18">
        <v>0.05</v>
      </c>
      <c r="W74" s="18">
        <v>0.105</v>
      </c>
      <c r="X74" s="25">
        <f t="shared" si="1"/>
        <v>5.3333333333333337E-2</v>
      </c>
      <c r="Y74" s="48"/>
    </row>
    <row r="75" spans="3:25" x14ac:dyDescent="0.2">
      <c r="C75" s="30"/>
      <c r="D75" t="s">
        <v>37</v>
      </c>
      <c r="L75" s="21" t="s">
        <v>66</v>
      </c>
      <c r="M75" s="18">
        <v>2</v>
      </c>
      <c r="N75" s="18">
        <v>3</v>
      </c>
      <c r="O75" s="18">
        <v>3</v>
      </c>
      <c r="P75" s="26">
        <v>2.83</v>
      </c>
      <c r="Q75" s="18">
        <v>1</v>
      </c>
      <c r="R75" s="18">
        <v>2</v>
      </c>
      <c r="S75" s="18">
        <v>3</v>
      </c>
      <c r="T75" s="26">
        <f t="shared" si="0"/>
        <v>2</v>
      </c>
      <c r="U75" s="18">
        <v>2.5000000000000001E-2</v>
      </c>
      <c r="V75" s="18">
        <v>7.0000000000000007E-2</v>
      </c>
      <c r="W75" s="18">
        <v>0.105</v>
      </c>
      <c r="X75" s="25">
        <f t="shared" si="1"/>
        <v>6.8333333333333343E-2</v>
      </c>
      <c r="Y75" s="48"/>
    </row>
    <row r="76" spans="3:25" x14ac:dyDescent="0.2">
      <c r="C76" s="30"/>
      <c r="D76" t="s">
        <v>38</v>
      </c>
      <c r="L76" s="21" t="s">
        <v>67</v>
      </c>
      <c r="M76" s="18">
        <v>1</v>
      </c>
      <c r="N76" s="18">
        <v>2</v>
      </c>
      <c r="O76" s="18">
        <v>3</v>
      </c>
      <c r="P76" s="26">
        <v>2</v>
      </c>
      <c r="Q76" s="18">
        <v>1</v>
      </c>
      <c r="R76" s="18">
        <v>2</v>
      </c>
      <c r="S76" s="18">
        <v>3</v>
      </c>
      <c r="T76" s="26">
        <f t="shared" si="0"/>
        <v>2</v>
      </c>
      <c r="U76" s="18">
        <v>1.4999999999999999E-2</v>
      </c>
      <c r="V76" s="18">
        <v>0.05</v>
      </c>
      <c r="W76" s="18">
        <v>0.105</v>
      </c>
      <c r="X76" s="25">
        <f t="shared" si="1"/>
        <v>5.3333333333333337E-2</v>
      </c>
      <c r="Y76" s="48"/>
    </row>
    <row r="77" spans="3:25" x14ac:dyDescent="0.2">
      <c r="C77" s="30"/>
      <c r="D77" t="s">
        <v>35</v>
      </c>
      <c r="L77" s="21" t="s">
        <v>33</v>
      </c>
      <c r="M77" s="18">
        <v>2</v>
      </c>
      <c r="N77" s="18">
        <v>2</v>
      </c>
      <c r="O77" s="18">
        <v>5</v>
      </c>
      <c r="P77" s="26">
        <v>2.5</v>
      </c>
      <c r="Q77" s="18">
        <v>7</v>
      </c>
      <c r="R77" s="18">
        <v>9</v>
      </c>
      <c r="S77" s="18">
        <v>14</v>
      </c>
      <c r="T77" s="26">
        <f t="shared" si="0"/>
        <v>9.5</v>
      </c>
      <c r="U77" s="18">
        <v>0.17499999999999999</v>
      </c>
      <c r="V77" s="18">
        <v>0.22500000000000001</v>
      </c>
      <c r="W77" s="18">
        <v>0.77</v>
      </c>
      <c r="X77" s="25">
        <f t="shared" si="1"/>
        <v>0.3075</v>
      </c>
      <c r="Y77" s="48"/>
    </row>
    <row r="78" spans="3:25" x14ac:dyDescent="0.2">
      <c r="C78" s="30" t="s">
        <v>21</v>
      </c>
      <c r="D78" t="s">
        <v>36</v>
      </c>
      <c r="L78" s="21" t="s">
        <v>68</v>
      </c>
      <c r="M78" s="18">
        <v>1</v>
      </c>
      <c r="N78" s="18">
        <v>2</v>
      </c>
      <c r="O78" s="18">
        <v>2</v>
      </c>
      <c r="P78" s="26">
        <v>1.83</v>
      </c>
      <c r="Q78" s="18">
        <v>5</v>
      </c>
      <c r="R78" s="18">
        <v>7</v>
      </c>
      <c r="S78" s="18">
        <v>10</v>
      </c>
      <c r="T78" s="26">
        <f t="shared" si="0"/>
        <v>7.166666666666667</v>
      </c>
      <c r="U78" s="22">
        <v>7.4999999999999997E-2</v>
      </c>
      <c r="V78" s="22">
        <v>0.17499999999999999</v>
      </c>
      <c r="W78" s="22">
        <v>0.25</v>
      </c>
      <c r="X78" s="25">
        <f t="shared" si="1"/>
        <v>0.17083333333333331</v>
      </c>
      <c r="Y78" s="48"/>
    </row>
    <row r="79" spans="3:25" x14ac:dyDescent="0.2">
      <c r="C79" s="30"/>
      <c r="D79" t="s">
        <v>37</v>
      </c>
      <c r="L79" s="16" t="s">
        <v>69</v>
      </c>
      <c r="M79" t="str">
        <f>(M58)&amp;"/"&amp;N58&amp;"/"&amp;O58&amp;"/"&amp;ROUND(P58,0)</f>
        <v>2/3/4/3</v>
      </c>
      <c r="Q79" t="str">
        <f>(Q58)&amp;"/"&amp;R58&amp;"/"&amp;S58&amp;"/"&amp;ROUND(T58,0)</f>
        <v>1/2/3/2</v>
      </c>
      <c r="U79" t="str">
        <f>(U58)&amp;"/"&amp;V58&amp;"/"&amp;W58&amp;"/"&amp;ROUND(X58,3)</f>
        <v>0.025/0.07/0.135/0.073</v>
      </c>
      <c r="V79" s="23"/>
      <c r="W79" s="23"/>
      <c r="X79" s="23"/>
    </row>
    <row r="80" spans="3:25" x14ac:dyDescent="0.2">
      <c r="C80" s="30"/>
      <c r="D80" t="s">
        <v>38</v>
      </c>
      <c r="M80" t="str">
        <f>(M59)&amp;"/"&amp;N59&amp;"/"&amp;O59&amp;"/"&amp;ROUND(P59,0)</f>
        <v>3/4/6/4</v>
      </c>
      <c r="Q80" t="str">
        <f>(Q59)&amp;"/"&amp;R59&amp;"/"&amp;S59&amp;"/"&amp;ROUND(T59,0)</f>
        <v>1/2/4/2</v>
      </c>
      <c r="U80" t="str">
        <f>(U59)&amp;"/"&amp;V59&amp;"/"&amp;W59&amp;"/"&amp;ROUND(X59,3)</f>
        <v>0.035/0.09/0.26/0.109</v>
      </c>
      <c r="V80" s="23"/>
      <c r="W80" s="23"/>
      <c r="X80" s="23"/>
    </row>
    <row r="81" spans="3:24" x14ac:dyDescent="0.2">
      <c r="C81" s="30"/>
      <c r="D81" t="s">
        <v>35</v>
      </c>
      <c r="M81" t="e">
        <f>(#REF!)&amp;"/"&amp;#REF!&amp;"/"&amp;#REF!&amp;"/"&amp;ROUND(#REF!,0)</f>
        <v>#REF!</v>
      </c>
      <c r="Q81" t="e">
        <f>(#REF!)&amp;"/"&amp;#REF!&amp;"/"&amp;#REF!&amp;"/"&amp;ROUND(#REF!,0)</f>
        <v>#REF!</v>
      </c>
      <c r="U81" t="e">
        <f>(#REF!)&amp;"/"&amp;#REF!&amp;"/"&amp;#REF!&amp;"/"&amp;ROUND(#REF!,3)</f>
        <v>#REF!</v>
      </c>
      <c r="V81" s="23"/>
      <c r="W81" s="23"/>
      <c r="X81" s="23"/>
    </row>
    <row r="82" spans="3:24" x14ac:dyDescent="0.2">
      <c r="C82" s="30" t="s">
        <v>22</v>
      </c>
      <c r="D82" t="s">
        <v>35</v>
      </c>
      <c r="M82" t="str">
        <f>(M60)&amp;"/"&amp;N60&amp;"/"&amp;O60&amp;"/"&amp;ROUND(P60,0)</f>
        <v>1/2/3/2</v>
      </c>
      <c r="Q82" t="str">
        <f>(Q60)&amp;"/"&amp;R60&amp;"/"&amp;S60&amp;"/"&amp;ROUND(T60,0)</f>
        <v>1/2/3/2</v>
      </c>
      <c r="U82" t="str">
        <f>(U60)&amp;"/"&amp;V60&amp;"/"&amp;W60&amp;"/"&amp;ROUND(X60,3)</f>
        <v>0.015/0.05/0.105/0.053</v>
      </c>
      <c r="V82" s="23"/>
      <c r="W82" s="23"/>
      <c r="X82" s="23"/>
    </row>
    <row r="83" spans="3:24" x14ac:dyDescent="0.2">
      <c r="C83" s="30"/>
      <c r="D83" t="s">
        <v>36</v>
      </c>
      <c r="M83" t="str">
        <f>(M61)&amp;"/"&amp;N61&amp;"/"&amp;O61&amp;"/"&amp;ROUND(P61,0)</f>
        <v>1/2/3/2</v>
      </c>
      <c r="Q83" t="str">
        <f>(Q61)&amp;"/"&amp;R61&amp;"/"&amp;S61&amp;"/"&amp;ROUND(T61,0)</f>
        <v>1/2/3/2</v>
      </c>
      <c r="U83" t="str">
        <f>(U61)&amp;"/"&amp;V61&amp;"/"&amp;W61&amp;"/"&amp;ROUND(X61,3)</f>
        <v>0.015/0.05/0.105/0.053</v>
      </c>
      <c r="V83" s="23"/>
      <c r="W83" s="23"/>
      <c r="X83" s="23"/>
    </row>
    <row r="84" spans="3:24" x14ac:dyDescent="0.2">
      <c r="C84" s="30"/>
      <c r="D84" t="s">
        <v>37</v>
      </c>
      <c r="M84" t="str">
        <f>(M62)&amp;"/"&amp;N62&amp;"/"&amp;O62&amp;"/"&amp;ROUND(P62,0)</f>
        <v>1/2/3/2</v>
      </c>
      <c r="Q84" t="str">
        <f>(Q62)&amp;"/"&amp;R62&amp;"/"&amp;S62&amp;"/"&amp;ROUND(T62,0)</f>
        <v>1/2/3/2</v>
      </c>
      <c r="U84" t="str">
        <f>(U62)&amp;"/"&amp;V62&amp;"/"&amp;W62&amp;"/"&amp;ROUND(X62,3)</f>
        <v>0.015/0.05/0.105/0.053</v>
      </c>
      <c r="V84" s="23"/>
      <c r="W84" s="23"/>
      <c r="X84" s="23"/>
    </row>
    <row r="85" spans="3:24" x14ac:dyDescent="0.2">
      <c r="C85" s="30"/>
      <c r="D85" t="s">
        <v>38</v>
      </c>
      <c r="M85" t="str">
        <f>(M63)&amp;"/"&amp;N63&amp;"/"&amp;O63&amp;"/"&amp;ROUND(P63,0)</f>
        <v>2/3/3/3</v>
      </c>
      <c r="Q85" t="str">
        <f>(Q63)&amp;"/"&amp;R63&amp;"/"&amp;S63&amp;"/"&amp;ROUND(T63,0)</f>
        <v>1/2/3/2</v>
      </c>
      <c r="U85" t="str">
        <f>(U63)&amp;"/"&amp;V63&amp;"/"&amp;W63&amp;"/"&amp;ROUND(X63,3)</f>
        <v>0.025/0.07/0.105/0.068</v>
      </c>
      <c r="V85" s="23"/>
      <c r="W85" s="23"/>
      <c r="X85" s="23"/>
    </row>
    <row r="86" spans="3:24" x14ac:dyDescent="0.2">
      <c r="C86" s="30" t="s">
        <v>23</v>
      </c>
      <c r="D86" t="s">
        <v>35</v>
      </c>
      <c r="M86" t="str">
        <f>(M64)&amp;"/"&amp;N64&amp;"/"&amp;O64&amp;"/"&amp;ROUND(P64,0)</f>
        <v>2/2/3/2</v>
      </c>
      <c r="Q86" t="str">
        <f>(Q64)&amp;"/"&amp;R64&amp;"/"&amp;S64&amp;"/"&amp;ROUND(T64,0)</f>
        <v>1/2/3/2</v>
      </c>
      <c r="U86" t="str">
        <f>(U64)&amp;"/"&amp;V64&amp;"/"&amp;W64&amp;"/"&amp;ROUND(X64,3)</f>
        <v>0.025/0.05/0.105/0.055</v>
      </c>
      <c r="V86" s="23"/>
      <c r="W86" s="23"/>
      <c r="X86" s="23"/>
    </row>
    <row r="87" spans="3:24" x14ac:dyDescent="0.2">
      <c r="C87" s="30"/>
      <c r="D87" t="s">
        <v>36</v>
      </c>
      <c r="M87" t="e">
        <f>(#REF!)&amp;"/"&amp;#REF!&amp;"/"&amp;#REF!&amp;"/"&amp;ROUND(#REF!,0)</f>
        <v>#REF!</v>
      </c>
      <c r="Q87" t="e">
        <f>(#REF!)&amp;"/"&amp;#REF!&amp;"/"&amp;#REF!&amp;"/"&amp;ROUND(#REF!,0)</f>
        <v>#REF!</v>
      </c>
      <c r="U87" t="e">
        <f>(#REF!)&amp;"/"&amp;#REF!&amp;"/"&amp;#REF!&amp;"/"&amp;ROUND(#REF!,3)</f>
        <v>#REF!</v>
      </c>
      <c r="V87" s="23"/>
      <c r="W87" s="23"/>
      <c r="X87" s="23"/>
    </row>
    <row r="88" spans="3:24" x14ac:dyDescent="0.2">
      <c r="C88" s="30"/>
      <c r="D88" t="s">
        <v>37</v>
      </c>
      <c r="M88" t="str">
        <f t="shared" ref="M88:M101" si="2">(M65)&amp;"/"&amp;N65&amp;"/"&amp;O65&amp;"/"&amp;ROUND(P65,0)</f>
        <v>1/2/3/2</v>
      </c>
      <c r="Q88" t="str">
        <f t="shared" ref="Q88:Q101" si="3">(Q65)&amp;"/"&amp;R65&amp;"/"&amp;S65&amp;"/"&amp;ROUND(T65,0)</f>
        <v>1/2/3/2</v>
      </c>
      <c r="U88" t="str">
        <f t="shared" ref="U88:U101" si="4">(U65)&amp;"/"&amp;V65&amp;"/"&amp;W65&amp;"/"&amp;ROUND(X65,3)</f>
        <v>0.015/0.05/0.105/0.053</v>
      </c>
      <c r="V88" s="23"/>
      <c r="W88" s="23"/>
      <c r="X88" s="23"/>
    </row>
    <row r="89" spans="3:24" x14ac:dyDescent="0.2">
      <c r="C89" s="30"/>
      <c r="D89" t="s">
        <v>38</v>
      </c>
      <c r="M89" t="str">
        <f t="shared" si="2"/>
        <v>1/2/3/2</v>
      </c>
      <c r="Q89" t="str">
        <f t="shared" si="3"/>
        <v>1/2/3/2</v>
      </c>
      <c r="U89" t="str">
        <f t="shared" si="4"/>
        <v>0.015/0.05/0.105/0.053</v>
      </c>
      <c r="V89" s="23"/>
      <c r="W89" s="23"/>
      <c r="X89" s="23"/>
    </row>
    <row r="90" spans="3:24" x14ac:dyDescent="0.2">
      <c r="C90" s="30"/>
      <c r="M90" t="str">
        <f t="shared" si="2"/>
        <v>1/2/3/2</v>
      </c>
      <c r="Q90" t="str">
        <f t="shared" si="3"/>
        <v>1/2/3/2</v>
      </c>
      <c r="U90" t="str">
        <f t="shared" si="4"/>
        <v>0.015/0.05/0.105/0.053</v>
      </c>
      <c r="V90" s="23"/>
      <c r="W90" s="23"/>
      <c r="X90" s="23"/>
    </row>
    <row r="91" spans="3:24" x14ac:dyDescent="0.2">
      <c r="C91" s="30"/>
      <c r="M91" t="str">
        <f t="shared" si="2"/>
        <v>1/2/3/2</v>
      </c>
      <c r="Q91" t="str">
        <f t="shared" si="3"/>
        <v>1/2/3/2</v>
      </c>
      <c r="U91" t="str">
        <f t="shared" si="4"/>
        <v>0.015/0.05/0.105/0.053</v>
      </c>
      <c r="V91" s="23"/>
      <c r="W91" s="23"/>
      <c r="X91" s="23"/>
    </row>
    <row r="92" spans="3:24" x14ac:dyDescent="0.2">
      <c r="C92" s="30"/>
      <c r="M92" t="str">
        <f t="shared" si="2"/>
        <v>1/2/3/2</v>
      </c>
      <c r="Q92" t="str">
        <f t="shared" si="3"/>
        <v>1/2/3/2</v>
      </c>
      <c r="U92" t="str">
        <f t="shared" si="4"/>
        <v>0.015/0.05/0.105/0.053</v>
      </c>
      <c r="V92" s="23"/>
      <c r="W92" s="23"/>
      <c r="X92" s="23"/>
    </row>
    <row r="93" spans="3:24" x14ac:dyDescent="0.2">
      <c r="C93" s="30"/>
      <c r="M93" t="str">
        <f t="shared" si="2"/>
        <v>1/2/3/2</v>
      </c>
      <c r="Q93" t="str">
        <f t="shared" si="3"/>
        <v>1/2/3/2</v>
      </c>
      <c r="U93" t="str">
        <f t="shared" si="4"/>
        <v>0.015/0.05/0.105/0.053</v>
      </c>
      <c r="V93" s="23"/>
      <c r="W93" s="23"/>
      <c r="X93" s="23"/>
    </row>
    <row r="94" spans="3:24" x14ac:dyDescent="0.2">
      <c r="C94" s="30" t="s">
        <v>24</v>
      </c>
      <c r="M94" t="str">
        <f t="shared" si="2"/>
        <v>1/2/3/2</v>
      </c>
      <c r="Q94" t="str">
        <f t="shared" si="3"/>
        <v>1/2/3/2</v>
      </c>
      <c r="U94" t="str">
        <f t="shared" si="4"/>
        <v>0.015/0.05/0.105/0.053</v>
      </c>
      <c r="V94" s="23"/>
      <c r="W94" s="23"/>
      <c r="X94" s="23"/>
    </row>
    <row r="95" spans="3:24" x14ac:dyDescent="0.2">
      <c r="C95" s="30"/>
      <c r="M95" t="str">
        <f t="shared" si="2"/>
        <v>1/2/3/2</v>
      </c>
      <c r="Q95" t="str">
        <f t="shared" si="3"/>
        <v>1/2/3/2</v>
      </c>
      <c r="U95" t="str">
        <f t="shared" si="4"/>
        <v>0.015/0.05/0.105/0.053</v>
      </c>
      <c r="V95" s="23"/>
      <c r="W95" s="23"/>
      <c r="X95" s="23"/>
    </row>
    <row r="96" spans="3:24" x14ac:dyDescent="0.2">
      <c r="C96" s="30"/>
      <c r="M96" t="str">
        <f t="shared" si="2"/>
        <v>1/2/3/2</v>
      </c>
      <c r="Q96" t="str">
        <f t="shared" si="3"/>
        <v>1/2/3/2</v>
      </c>
      <c r="U96" t="str">
        <f t="shared" si="4"/>
        <v>0.015/0.05/0.105/0.053</v>
      </c>
      <c r="V96" s="23"/>
      <c r="W96" s="23"/>
      <c r="X96" s="23"/>
    </row>
    <row r="97" spans="3:24" x14ac:dyDescent="0.2">
      <c r="C97" s="30"/>
      <c r="M97" t="str">
        <f t="shared" si="2"/>
        <v>1/2/3/2</v>
      </c>
      <c r="Q97" t="str">
        <f t="shared" si="3"/>
        <v>1/2/3/2</v>
      </c>
      <c r="U97" t="str">
        <f t="shared" si="4"/>
        <v>0.015/0.05/0.105/0.053</v>
      </c>
      <c r="V97" s="23"/>
      <c r="W97" s="23"/>
      <c r="X97" s="23"/>
    </row>
    <row r="98" spans="3:24" x14ac:dyDescent="0.2">
      <c r="C98" s="30" t="s">
        <v>25</v>
      </c>
      <c r="M98" t="str">
        <f t="shared" si="2"/>
        <v>2/3/3/3</v>
      </c>
      <c r="Q98" t="str">
        <f t="shared" si="3"/>
        <v>1/2/3/2</v>
      </c>
      <c r="U98" t="str">
        <f t="shared" si="4"/>
        <v>0.025/0.07/0.105/0.068</v>
      </c>
      <c r="V98" s="23"/>
      <c r="W98" s="23"/>
      <c r="X98" s="23"/>
    </row>
    <row r="99" spans="3:24" x14ac:dyDescent="0.2">
      <c r="C99" s="30"/>
      <c r="M99" t="str">
        <f t="shared" si="2"/>
        <v>1/2/3/2</v>
      </c>
      <c r="Q99" t="str">
        <f t="shared" si="3"/>
        <v>1/2/3/2</v>
      </c>
      <c r="U99" t="str">
        <f t="shared" si="4"/>
        <v>0.015/0.05/0.105/0.053</v>
      </c>
      <c r="V99" s="23"/>
      <c r="W99" s="23"/>
      <c r="X99" s="23"/>
    </row>
    <row r="100" spans="3:24" x14ac:dyDescent="0.2">
      <c r="C100" s="30"/>
      <c r="G100" s="3"/>
      <c r="M100" t="str">
        <f t="shared" si="2"/>
        <v>2/2/5/3</v>
      </c>
      <c r="Q100" t="str">
        <f t="shared" si="3"/>
        <v>7/9/14/10</v>
      </c>
      <c r="U100" t="str">
        <f t="shared" si="4"/>
        <v>0.175/0.225/0.77/0.308</v>
      </c>
      <c r="V100" s="23"/>
      <c r="W100" s="23"/>
      <c r="X100" s="23"/>
    </row>
    <row r="101" spans="3:24" x14ac:dyDescent="0.2">
      <c r="C101" s="30"/>
      <c r="G101" s="3"/>
      <c r="M101" t="str">
        <f t="shared" si="2"/>
        <v>1/2/2/2</v>
      </c>
      <c r="Q101" t="str">
        <f t="shared" si="3"/>
        <v>5/7/10/7</v>
      </c>
      <c r="U101" t="str">
        <f t="shared" si="4"/>
        <v>0.075/0.175/0.25/0.171</v>
      </c>
      <c r="V101" s="23"/>
      <c r="W101" s="23"/>
      <c r="X101" s="23"/>
    </row>
    <row r="102" spans="3:24" x14ac:dyDescent="0.2">
      <c r="C102" s="30" t="s">
        <v>26</v>
      </c>
      <c r="G102" s="3"/>
      <c r="M102" t="str">
        <f t="shared" ref="M102:M107" si="5">(M79)&amp;"/"&amp;N79&amp;"/"&amp;O79&amp;"/"&amp;P79</f>
        <v>2/3/4/3///</v>
      </c>
    </row>
    <row r="103" spans="3:24" x14ac:dyDescent="0.2">
      <c r="C103" s="30"/>
      <c r="G103" s="3"/>
      <c r="M103" t="str">
        <f t="shared" si="5"/>
        <v>3/4/6/4///</v>
      </c>
    </row>
    <row r="104" spans="3:24" x14ac:dyDescent="0.2">
      <c r="C104" s="30"/>
      <c r="G104" s="3"/>
      <c r="M104" t="e">
        <f t="shared" si="5"/>
        <v>#REF!</v>
      </c>
    </row>
    <row r="105" spans="3:24" x14ac:dyDescent="0.2">
      <c r="C105" s="30"/>
      <c r="G105" s="3"/>
      <c r="M105" t="str">
        <f t="shared" si="5"/>
        <v>1/2/3/2///</v>
      </c>
    </row>
    <row r="106" spans="3:24" x14ac:dyDescent="0.2">
      <c r="C106" s="30" t="s">
        <v>27</v>
      </c>
      <c r="G106" s="3"/>
      <c r="M106" t="str">
        <f t="shared" si="5"/>
        <v>1/2/3/2///</v>
      </c>
    </row>
    <row r="107" spans="3:24" x14ac:dyDescent="0.2">
      <c r="C107" s="30"/>
      <c r="G107" s="3"/>
      <c r="M107" t="str">
        <f t="shared" si="5"/>
        <v>1/2/3/2///</v>
      </c>
    </row>
    <row r="108" spans="3:24" x14ac:dyDescent="0.2">
      <c r="C108" s="30"/>
      <c r="G108" s="3"/>
    </row>
    <row r="109" spans="3:24" x14ac:dyDescent="0.2">
      <c r="C109" s="30"/>
      <c r="G109" s="3"/>
    </row>
    <row r="110" spans="3:24" x14ac:dyDescent="0.2">
      <c r="C110" s="30" t="s">
        <v>28</v>
      </c>
      <c r="G110" s="3"/>
    </row>
    <row r="111" spans="3:24" x14ac:dyDescent="0.2">
      <c r="C111" s="30"/>
      <c r="G111" s="3"/>
    </row>
    <row r="112" spans="3:24" x14ac:dyDescent="0.2">
      <c r="C112" s="30"/>
      <c r="G112" s="3"/>
    </row>
    <row r="113" spans="3:7" x14ac:dyDescent="0.2">
      <c r="C113" s="30"/>
      <c r="G113" s="3"/>
    </row>
    <row r="114" spans="3:7" x14ac:dyDescent="0.2">
      <c r="C114" s="30" t="s">
        <v>29</v>
      </c>
      <c r="G114" s="3"/>
    </row>
    <row r="115" spans="3:7" x14ac:dyDescent="0.2">
      <c r="C115" s="30"/>
      <c r="G115" s="3"/>
    </row>
    <row r="116" spans="3:7" x14ac:dyDescent="0.2">
      <c r="C116" s="30"/>
    </row>
    <row r="117" spans="3:7" x14ac:dyDescent="0.2">
      <c r="C117" s="30"/>
    </row>
    <row r="118" spans="3:7" x14ac:dyDescent="0.2">
      <c r="C118" s="30" t="s">
        <v>30</v>
      </c>
    </row>
    <row r="119" spans="3:7" x14ac:dyDescent="0.2">
      <c r="C119" s="30"/>
    </row>
    <row r="120" spans="3:7" x14ac:dyDescent="0.2">
      <c r="C120" s="30"/>
    </row>
    <row r="121" spans="3:7" x14ac:dyDescent="0.2">
      <c r="C121" s="30"/>
    </row>
    <row r="122" spans="3:7" x14ac:dyDescent="0.2">
      <c r="C122" s="30" t="s">
        <v>31</v>
      </c>
    </row>
    <row r="123" spans="3:7" x14ac:dyDescent="0.2">
      <c r="C123" s="30"/>
    </row>
    <row r="124" spans="3:7" x14ac:dyDescent="0.2">
      <c r="C124" s="30"/>
    </row>
    <row r="125" spans="3:7" x14ac:dyDescent="0.2">
      <c r="C125" s="30"/>
    </row>
    <row r="126" spans="3:7" x14ac:dyDescent="0.2">
      <c r="C126" s="30" t="s">
        <v>32</v>
      </c>
    </row>
    <row r="127" spans="3:7" x14ac:dyDescent="0.2">
      <c r="C127" s="30"/>
    </row>
    <row r="128" spans="3:7" x14ac:dyDescent="0.2">
      <c r="C128" s="30"/>
    </row>
    <row r="129" spans="3:3" x14ac:dyDescent="0.2">
      <c r="C129" s="30"/>
    </row>
    <row r="130" spans="3:3" x14ac:dyDescent="0.2">
      <c r="C130" s="30" t="s">
        <v>33</v>
      </c>
    </row>
    <row r="131" spans="3:3" x14ac:dyDescent="0.2">
      <c r="C131" s="30"/>
    </row>
    <row r="132" spans="3:3" x14ac:dyDescent="0.2">
      <c r="C132" s="30"/>
    </row>
    <row r="133" spans="3:3" x14ac:dyDescent="0.2">
      <c r="C133" s="30"/>
    </row>
    <row r="134" spans="3:3" x14ac:dyDescent="0.2">
      <c r="C134" s="31" t="s">
        <v>34</v>
      </c>
    </row>
    <row r="135" spans="3:3" x14ac:dyDescent="0.2">
      <c r="C135" s="31"/>
    </row>
    <row r="136" spans="3:3" x14ac:dyDescent="0.2">
      <c r="C136" s="31"/>
    </row>
    <row r="137" spans="3:3" x14ac:dyDescent="0.2">
      <c r="C137" s="31"/>
    </row>
  </sheetData>
  <mergeCells count="46">
    <mergeCell ref="Y65:Y75"/>
    <mergeCell ref="Y76:Y78"/>
    <mergeCell ref="W7:W9"/>
    <mergeCell ref="Y7:Y9"/>
    <mergeCell ref="Z7:Z9"/>
    <mergeCell ref="L42:W42"/>
    <mergeCell ref="Y58:Y64"/>
    <mergeCell ref="S7:S9"/>
    <mergeCell ref="M57:P57"/>
    <mergeCell ref="Q57:T57"/>
    <mergeCell ref="U57:X57"/>
    <mergeCell ref="C122:C125"/>
    <mergeCell ref="C126:C129"/>
    <mergeCell ref="C130:C133"/>
    <mergeCell ref="C134:C137"/>
    <mergeCell ref="M7:M9"/>
    <mergeCell ref="C98:C101"/>
    <mergeCell ref="C102:C105"/>
    <mergeCell ref="C106:C109"/>
    <mergeCell ref="C110:C113"/>
    <mergeCell ref="C114:C117"/>
    <mergeCell ref="C118:C121"/>
    <mergeCell ref="C74:C77"/>
    <mergeCell ref="C78:C81"/>
    <mergeCell ref="C82:C85"/>
    <mergeCell ref="C86:C89"/>
    <mergeCell ref="C90:C93"/>
    <mergeCell ref="C94:C97"/>
    <mergeCell ref="C52:C55"/>
    <mergeCell ref="C56:C59"/>
    <mergeCell ref="C60:C62"/>
    <mergeCell ref="C63:C65"/>
    <mergeCell ref="C66:C69"/>
    <mergeCell ref="C70:C73"/>
    <mergeCell ref="C6:I6"/>
    <mergeCell ref="C32:C35"/>
    <mergeCell ref="C36:C39"/>
    <mergeCell ref="C40:C43"/>
    <mergeCell ref="C44:C47"/>
    <mergeCell ref="C48:C51"/>
    <mergeCell ref="C8:C11"/>
    <mergeCell ref="C12:C15"/>
    <mergeCell ref="C16:C19"/>
    <mergeCell ref="C20:C23"/>
    <mergeCell ref="C24:C27"/>
    <mergeCell ref="C28:C3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sicamoci</dc:creator>
  <cp:lastModifiedBy>Johnson Liam</cp:lastModifiedBy>
  <dcterms:created xsi:type="dcterms:W3CDTF">2015-06-05T18:19:34Z</dcterms:created>
  <dcterms:modified xsi:type="dcterms:W3CDTF">2024-04-22T01:39:25Z</dcterms:modified>
</cp:coreProperties>
</file>